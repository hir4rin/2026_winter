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平尾泰稀\Documents\GitHub\2026_winter\進捗\"/>
    </mc:Choice>
  </mc:AlternateContent>
  <xr:revisionPtr revIDLastSave="0" documentId="13_ncr:1_{F5DEDB71-5A16-44DD-9657-5BF6312733F3}" xr6:coauthVersionLast="47" xr6:coauthVersionMax="47" xr10:uidLastSave="{00000000-0000-0000-0000-000000000000}"/>
  <bookViews>
    <workbookView xWindow="-120" yWindow="-120" windowWidth="29040" windowHeight="15720" activeTab="6" xr2:uid="{7AFDD9A7-7E0B-4D68-90FA-89EA48270938}"/>
  </bookViews>
  <sheets>
    <sheet name="概要" sheetId="1" r:id="rId1"/>
    <sheet name="Ch0 間取り図" sheetId="10" r:id="rId2"/>
    <sheet name="Ch1 間取り図" sheetId="11" r:id="rId3"/>
    <sheet name="Ch0 設計図" sheetId="2" r:id="rId4"/>
    <sheet name="Ch1 設計図" sheetId="3" r:id="rId5"/>
    <sheet name="進行表" sheetId="4" r:id="rId6"/>
    <sheet name="敵・ボス" sheetId="5" r:id="rId7"/>
  </sheets>
  <definedNames>
    <definedName name="_xlnm._FilterDatabase" localSheetId="5" hidden="1">進行表!$A$2:$L$36</definedName>
    <definedName name="_xlnm.Print_Area" localSheetId="3">'Ch0 設計図'!$A$1:$CB$101</definedName>
    <definedName name="_xlnm.Print_Area" localSheetId="4">'Ch1 設計図'!$A$1:$CB$182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819" i="11" l="1"/>
  <c r="X820" i="11"/>
  <c r="X821" i="11"/>
  <c r="X822" i="11"/>
  <c r="X823" i="11"/>
  <c r="X824" i="11"/>
  <c r="X825" i="11"/>
  <c r="X827" i="11"/>
  <c r="X828" i="11"/>
  <c r="X829" i="11"/>
  <c r="X830" i="11"/>
  <c r="X831" i="11"/>
  <c r="X832" i="11"/>
  <c r="X833" i="11"/>
  <c r="X834" i="11"/>
  <c r="X835" i="11"/>
  <c r="X836" i="11"/>
  <c r="X837" i="11"/>
  <c r="X838" i="11"/>
  <c r="X839" i="11"/>
  <c r="X840" i="11"/>
  <c r="X841" i="11"/>
  <c r="X842" i="11"/>
  <c r="X843" i="11"/>
  <c r="X845" i="11"/>
  <c r="X846" i="11"/>
  <c r="X847" i="11"/>
  <c r="X848" i="11"/>
  <c r="X849" i="11"/>
  <c r="N795" i="11"/>
  <c r="M795" i="11"/>
  <c r="L795" i="11"/>
  <c r="K795" i="11"/>
  <c r="K796" i="11"/>
  <c r="K797" i="11"/>
  <c r="K798" i="11"/>
  <c r="K799" i="11"/>
  <c r="K800" i="11"/>
  <c r="K801" i="11"/>
  <c r="K802" i="11"/>
  <c r="I753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675" i="11"/>
  <c r="G676" i="11"/>
  <c r="G677" i="11"/>
  <c r="G678" i="11"/>
  <c r="G679" i="11"/>
  <c r="G680" i="11"/>
  <c r="G681" i="11"/>
  <c r="G683" i="11"/>
  <c r="G684" i="11"/>
  <c r="G685" i="11"/>
  <c r="G686" i="11"/>
  <c r="G687" i="11"/>
  <c r="G688" i="11"/>
  <c r="G689" i="11"/>
  <c r="G690" i="11"/>
  <c r="G691" i="11"/>
  <c r="G692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D658" i="11"/>
  <c r="C658" i="11"/>
  <c r="Q630" i="11"/>
  <c r="Q631" i="11"/>
  <c r="Q632" i="11"/>
  <c r="Q633" i="11"/>
  <c r="Q635" i="11"/>
  <c r="Q636" i="11"/>
  <c r="Q637" i="11"/>
  <c r="Q638" i="11"/>
  <c r="Q639" i="11"/>
  <c r="Q640" i="11"/>
  <c r="Q641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E642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7" i="11"/>
  <c r="G618" i="11"/>
  <c r="F585" i="11"/>
  <c r="F586" i="11"/>
  <c r="F587" i="11"/>
  <c r="F588" i="11"/>
  <c r="F589" i="11"/>
  <c r="F590" i="11"/>
  <c r="AC548" i="11"/>
  <c r="AC549" i="11"/>
  <c r="AC550" i="11"/>
  <c r="AC551" i="11"/>
  <c r="AC552" i="11"/>
  <c r="AC554" i="11"/>
  <c r="AB554" i="11"/>
  <c r="AA554" i="11"/>
  <c r="Z554" i="11"/>
  <c r="Y554" i="11"/>
  <c r="Y555" i="11"/>
  <c r="Y556" i="11"/>
  <c r="Y557" i="11"/>
  <c r="Y558" i="11"/>
  <c r="Y559" i="11"/>
  <c r="Y560" i="11"/>
  <c r="Y561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M563" i="11"/>
  <c r="M565" i="11"/>
  <c r="M566" i="11"/>
  <c r="M567" i="11"/>
  <c r="M568" i="11"/>
  <c r="L568" i="11"/>
  <c r="K568" i="11"/>
  <c r="J568" i="11"/>
  <c r="I568" i="11"/>
  <c r="H568" i="11"/>
  <c r="G568" i="11"/>
  <c r="F568" i="11"/>
  <c r="E568" i="11"/>
  <c r="D568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Q485" i="11"/>
  <c r="Q486" i="11"/>
  <c r="Q488" i="11"/>
  <c r="Q489" i="11"/>
  <c r="Q490" i="11"/>
  <c r="Q491" i="11"/>
  <c r="Q492" i="11"/>
  <c r="Q493" i="11"/>
  <c r="Q494" i="11"/>
  <c r="Q495" i="11"/>
  <c r="Q497" i="11"/>
  <c r="Q498" i="11"/>
  <c r="Q499" i="11"/>
  <c r="Q500" i="11"/>
  <c r="Q501" i="11"/>
  <c r="Q502" i="11"/>
  <c r="Q503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AH445" i="11"/>
  <c r="AH444" i="11"/>
  <c r="AH443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H420" i="11"/>
  <c r="H421" i="11"/>
  <c r="H422" i="11"/>
  <c r="H423" i="11"/>
  <c r="H424" i="11"/>
  <c r="H425" i="11"/>
  <c r="H426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E407" i="11"/>
  <c r="D407" i="11"/>
  <c r="R385" i="11"/>
  <c r="R386" i="11"/>
  <c r="R387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T367" i="11"/>
  <c r="T368" i="11"/>
  <c r="T369" i="11"/>
  <c r="T370" i="11"/>
  <c r="T371" i="11"/>
  <c r="T372" i="11"/>
  <c r="T373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K311" i="11"/>
  <c r="K312" i="11"/>
  <c r="K313" i="11"/>
  <c r="K314" i="11"/>
  <c r="K315" i="11"/>
  <c r="K316" i="11"/>
  <c r="K317" i="11"/>
  <c r="K319" i="11"/>
  <c r="K320" i="11"/>
  <c r="K321" i="11"/>
  <c r="K322" i="11"/>
  <c r="K323" i="11"/>
  <c r="K324" i="11"/>
  <c r="K325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AF300" i="11"/>
  <c r="AF299" i="11"/>
  <c r="AF298" i="11"/>
  <c r="AF296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J295" i="11"/>
  <c r="I295" i="11"/>
  <c r="H295" i="11"/>
  <c r="G295" i="11"/>
  <c r="F295" i="11"/>
  <c r="E295" i="11"/>
  <c r="D295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Q251" i="11"/>
  <c r="P251" i="11"/>
  <c r="O251" i="11"/>
  <c r="N251" i="11"/>
  <c r="M251" i="11"/>
  <c r="L239" i="11"/>
  <c r="L240" i="11"/>
  <c r="L241" i="11"/>
  <c r="L242" i="11"/>
  <c r="L243" i="11"/>
  <c r="L245" i="11"/>
  <c r="L246" i="11"/>
  <c r="L247" i="11"/>
  <c r="L248" i="11"/>
  <c r="L249" i="11"/>
  <c r="L250" i="11"/>
  <c r="L251" i="11"/>
  <c r="O215" i="11"/>
  <c r="O216" i="11"/>
  <c r="O217" i="11"/>
  <c r="O219" i="11"/>
  <c r="N219" i="11"/>
  <c r="M219" i="11"/>
  <c r="L219" i="11"/>
  <c r="K219" i="11"/>
  <c r="K220" i="11"/>
  <c r="K221" i="11"/>
  <c r="K222" i="11"/>
  <c r="K223" i="11"/>
  <c r="K224" i="11"/>
  <c r="K225" i="11"/>
  <c r="K226" i="11"/>
  <c r="J226" i="11"/>
  <c r="I226" i="11"/>
  <c r="H226" i="11"/>
  <c r="G226" i="11"/>
  <c r="F226" i="11"/>
  <c r="F228" i="11"/>
  <c r="G228" i="11"/>
  <c r="H228" i="11"/>
  <c r="I228" i="11"/>
  <c r="J228" i="11"/>
  <c r="K228" i="11"/>
  <c r="K229" i="11"/>
  <c r="K230" i="11"/>
  <c r="I163" i="11"/>
  <c r="I164" i="11"/>
  <c r="I165" i="11"/>
  <c r="I166" i="11"/>
  <c r="I167" i="11"/>
  <c r="I168" i="11"/>
  <c r="I169" i="11"/>
  <c r="I171" i="11"/>
  <c r="I172" i="11"/>
  <c r="I173" i="11"/>
  <c r="I175" i="11"/>
  <c r="I176" i="11"/>
  <c r="I177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7" i="11"/>
  <c r="I198" i="11"/>
  <c r="I199" i="11"/>
  <c r="I200" i="11"/>
  <c r="I201" i="11"/>
  <c r="I202" i="11"/>
  <c r="I203" i="11"/>
  <c r="I204" i="11"/>
  <c r="T146" i="11"/>
  <c r="S146" i="11"/>
  <c r="R146" i="11"/>
  <c r="Q146" i="11"/>
  <c r="P146" i="11"/>
  <c r="N148" i="11"/>
  <c r="N149" i="11"/>
  <c r="N150" i="11"/>
  <c r="N151" i="11"/>
  <c r="N152" i="11"/>
  <c r="N153" i="11"/>
  <c r="N154" i="11"/>
  <c r="AD101" i="11"/>
  <c r="AD102" i="11"/>
  <c r="AC102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A124" i="11"/>
  <c r="Z124" i="11"/>
  <c r="Y124" i="11"/>
  <c r="X124" i="11"/>
  <c r="W124" i="11"/>
  <c r="V124" i="11"/>
  <c r="U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P77" i="11"/>
  <c r="P75" i="11"/>
  <c r="P74" i="11"/>
  <c r="P73" i="11"/>
  <c r="P72" i="11"/>
  <c r="P71" i="11"/>
  <c r="P70" i="11"/>
  <c r="P68" i="11"/>
  <c r="P67" i="11"/>
  <c r="O67" i="11"/>
  <c r="N67" i="11"/>
  <c r="M67" i="11"/>
  <c r="L67" i="11"/>
  <c r="H68" i="11"/>
  <c r="H69" i="11"/>
  <c r="H70" i="11"/>
  <c r="H71" i="11"/>
  <c r="H72" i="11"/>
  <c r="H73" i="11"/>
  <c r="H74" i="11"/>
  <c r="H75" i="11"/>
  <c r="H76" i="11"/>
  <c r="H77" i="11"/>
  <c r="H78" i="11"/>
  <c r="H25" i="11"/>
  <c r="H27" i="11"/>
  <c r="H28" i="11"/>
  <c r="H29" i="11"/>
  <c r="H30" i="11"/>
  <c r="H31" i="11"/>
  <c r="H33" i="11"/>
  <c r="H34" i="11"/>
  <c r="H35" i="11"/>
  <c r="H36" i="11"/>
  <c r="H37" i="11"/>
  <c r="H39" i="11"/>
  <c r="H40" i="11"/>
  <c r="H41" i="11"/>
  <c r="H42" i="11"/>
  <c r="H43" i="11"/>
  <c r="H45" i="11"/>
  <c r="H46" i="11"/>
  <c r="H47" i="11"/>
  <c r="H48" i="11"/>
  <c r="H49" i="11"/>
  <c r="H50" i="11"/>
  <c r="H51" i="11"/>
  <c r="H52" i="11"/>
  <c r="H53" i="11"/>
  <c r="H54" i="11"/>
  <c r="H55" i="11"/>
  <c r="Q270" i="10"/>
  <c r="Q271" i="10"/>
  <c r="Q272" i="10"/>
  <c r="Q273" i="10"/>
  <c r="Q275" i="10"/>
  <c r="Q276" i="10"/>
  <c r="Q277" i="10"/>
  <c r="Q278" i="10"/>
  <c r="Q279" i="10"/>
  <c r="Q280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8" i="10"/>
  <c r="G229" i="10"/>
  <c r="G230" i="10"/>
  <c r="G231" i="10"/>
  <c r="G232" i="10"/>
  <c r="O199" i="10"/>
  <c r="O198" i="10"/>
  <c r="O197" i="10"/>
  <c r="O196" i="10"/>
  <c r="O195" i="10"/>
  <c r="O194" i="10"/>
  <c r="O193" i="10"/>
  <c r="O192" i="10"/>
  <c r="O190" i="10"/>
  <c r="O189" i="10"/>
  <c r="O188" i="10"/>
  <c r="O187" i="10"/>
  <c r="O186" i="10"/>
  <c r="O185" i="10"/>
  <c r="O184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AR144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AJ91" i="10"/>
  <c r="AJ92" i="10"/>
  <c r="AJ93" i="10"/>
  <c r="AJ94" i="10"/>
  <c r="AD94" i="10"/>
  <c r="AD93" i="10"/>
  <c r="AD92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L92" i="10"/>
  <c r="L93" i="10"/>
  <c r="L94" i="10"/>
  <c r="L95" i="10"/>
  <c r="L96" i="10"/>
  <c r="K96" i="10"/>
  <c r="J96" i="10"/>
  <c r="I96" i="10"/>
  <c r="H96" i="10"/>
  <c r="G96" i="10"/>
  <c r="F96" i="10"/>
  <c r="E96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BM38" i="10"/>
  <c r="BL38" i="10"/>
  <c r="BK38" i="10"/>
  <c r="BJ38" i="10"/>
  <c r="BI38" i="10"/>
  <c r="BH38" i="10"/>
  <c r="BG38" i="10"/>
  <c r="BF38" i="10"/>
  <c r="BE38" i="10"/>
  <c r="BD38" i="10"/>
  <c r="BC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L38" i="10"/>
  <c r="K38" i="10"/>
  <c r="J38" i="10"/>
  <c r="I38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J27" i="10"/>
  <c r="AI27" i="10"/>
  <c r="AH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O27" i="10"/>
  <c r="N27" i="10"/>
  <c r="M27" i="10"/>
  <c r="L27" i="10"/>
  <c r="K27" i="10"/>
  <c r="J27" i="10"/>
  <c r="I27" i="10"/>
  <c r="H27" i="10"/>
  <c r="G27" i="10"/>
  <c r="F27" i="10"/>
  <c r="E27" i="10"/>
</calcChain>
</file>

<file path=xl/sharedStrings.xml><?xml version="1.0" encoding="utf-8"?>
<sst xmlns="http://schemas.openxmlformats.org/spreadsheetml/2006/main" count="2864" uniqueCount="1106">
  <si>
    <t>CHAPTER 0　Dark Descendant（プロローグ）</t>
  </si>
  <si>
    <t>ロケーション：天空都市東京 / DDO列車・DDO施設　｜　ボス：なし（チュートリアル章）　｜　収集要素：なし　｜　敵：DDOソルジャー、DDOオフィサー</t>
  </si>
  <si>
    <t>イベント</t>
  </si>
  <si>
    <t>チュートリアル</t>
  </si>
  <si>
    <t>戦闘</t>
  </si>
  <si>
    <t>ボス</t>
  </si>
  <si>
    <t>移動・アクション</t>
  </si>
  <si>
    <t>ステルス</t>
  </si>
  <si>
    <t>拠点</t>
  </si>
  <si>
    <t>目標</t>
  </si>
  <si>
    <t>寄り道・収集</t>
  </si>
  <si>
    <t>実線矢印＝メインルート / 点線矢印＝寄り道（終わったらメインに戻る）/ 本文の「敵」「演出」「再現」は進行表シートにも同じ内容あり</t>
  </si>
  <si>
    <t>現在：DDO列車（夜・黒い雨）</t>
  </si>
  <si>
    <t>ナレーション</t>
  </si>
  <si>
    <t>数日前（回想）：地下洞窟 → DDO施設</t>
  </si>
  <si>
    <t>0-01  [イベント]  OP：DDO列車に乗り込む</t>
  </si>
  <si>
    <t>■見た目：夜・黒い雨。高速で走る列車の屋根/車両。遠くに天空都市東京のシルエット
▶行動：ムービー後、列車上で操作開始
◇演出：ウミ(通信)「4つの社に潜入して暗黒龍の封印を破れ」</t>
  </si>
  <si>
    <t>0-02  [チュートリアル]  列車上の戦闘①</t>
  </si>
  <si>
    <t>■見た目：細長い車両上＝横幅が狭い一本道のアリーナ
▶行動：弱/強攻撃のコンボ、パーフェクト回避(攻撃が当たる直前にRT+方向)
◎敵：DDOソルジャー(一般兵)</t>
  </si>
  <si>
    <t>0-03  [チュートリアル]  列車上の戦闘②</t>
  </si>
  <si>
    <t>■見た目：同上。敵が囲むように湧く
▶行動：ブラッドバインドゲージを溜め「ブラッドレイヴンフォーム」へ変身。ボタン長押しで溜め攻撃
◎敵：DDOオフィサー(エリート)。赤く光る＝パワーアタック</t>
  </si>
  <si>
    <t>0-04  [イベント]  増援 → 列車から飛び降りる</t>
  </si>
  <si>
    <t>■見た目：天空都市東京が目前に迫る
◇演出：DDO兵の増援に押され、予定より早く列車を飛び降りる（Ch1冒頭につながる）</t>
  </si>
  <si>
    <t>0-05  [イベント]  ナレーション：暗黒龍と東京</t>
  </si>
  <si>
    <t>■見た目：一枚絵/ムービー。呪いの雨、瘴気に沈んだ東京
▶行動：操作なし
◇演出：暗黒龍の亡骸、リュウ・ハヤブサとDDOが封印した経緯の説明</t>
  </si>
  <si>
    <t>0-06  [イベント]  【数日前・回想】DDO施設へ潜入</t>
  </si>
  <si>
    <t>■見た目：DDOの秘密施設。ここから先は通信不可
◇演出：ミサキ「鴉の一族の予言：暗黒龍の巫女を殺せ」／ウミ「ここから先は一人よ」</t>
  </si>
  <si>
    <t>0-07  [移動・アクション]  地下洞窟：壁走り・壁蹴り</t>
  </si>
  <si>
    <t>■見た目：地下の洞窟。谷(落下エリア)と高い足場が続く
▶行動：壁走りで谷を渡る／向かい合う壁を蹴って登る</t>
  </si>
  <si>
    <t>0-08  [ステルス]  施設の警備：背後から暗殺</t>
  </si>
  <si>
    <t>■見た目：施設の通路・外周。警備兵が巡回/こちらに気づいていない
▶行動：見つからずに背後へ回り込み暗殺(Y/△)
◎敵：DDOソルジャー(警備)</t>
  </si>
  <si>
    <t>0-09  [イベント]  独房でセオリと対面</t>
  </si>
  <si>
    <t>■見た目：施設最奥の独房
◇演出：セオリ「私を殺しても封印は残る。封印は4つ」→ 手を組む。お守り(アイテム)を受け取る</t>
  </si>
  <si>
    <t>0-10  [イベント]  脱出：カガチの待ち伏せ</t>
  </si>
  <si>
    <t>■見た目：施設の出口付近の通路
◇演出：DDO大将軍カガチが立ちはだかる → セオリの閃光弾で逃走 → カガチがリュウに報告。Ch1へ</t>
  </si>
  <si>
    <t>CHAPTER 1　Bloodsoaked Tokyo（血に濡れた東京）</t>
  </si>
  <si>
    <t>ロケーション：天空都市東京　｜　目的：DDO防衛網のパイロンを破壊　｜　ボス：DDOコマンダー　｜　ゴーディ1 / 煉獄の門1 / 装飾品1 / サブミッション3</t>
  </si>
  <si>
    <t>コンテナヤード → ピラミッド（パイロン①）</t>
  </si>
  <si>
    <t>大門 → 鴉の師</t>
  </si>
  <si>
    <t>妖魔の領域 → 崩壊した交差点</t>
  </si>
  <si>
    <t>ダクト → ワイヤー区画</t>
  </si>
  <si>
    <t>最終区画 → パイロン②</t>
  </si>
  <si>
    <t>1-01  [イベント]  START：コンテナヤード</t>
  </si>
  <si>
    <t>■見た目：市街の真ん中のコンテナヤード。雨のネオン街、積まれたコンテナ
▶行動：セオリの通信で目的説明→探索開始
◇演出：セオリ「最初の社は東京の中心。DDOの防衛網を落とすためパイロン3基を壊して」
◆入手：スタート地点の宝箱：Crimson Blood Balm(回復)</t>
  </si>
  <si>
    <t>1-02  [寄り道・収集]  路地の奥・ゲート前</t>
  </si>
  <si>
    <t>■見た目：細い路地。突き当たりにゲート
▶行動：ゲート前の宝箱を回収
◆入手：宝箱：Senjin War Brew(攻撃UP)</t>
  </si>
  <si>
    <t>1-03  [移動・アクション]  壁蹴りで上の足場へ</t>
  </si>
  <si>
    <t>■見た目：ゲートの先に向かい合う2枚の壁
▶行動：壁蹴りで上の足場へ→先へ進む
◆入手：空のダンボール裏の宝箱：Life Elixir</t>
  </si>
  <si>
    <t>1-04  [拠点]  DarkNest社①</t>
  </si>
  <si>
    <t>■見た目：道の先の社(端末)
▶行動：ミッション受注・強化。平行の壁を蹴って上へ</t>
  </si>
  <si>
    <t>1-05  [戦闘]  ピラミッド前の戦闘</t>
  </si>
  <si>
    <t>■見た目：巨大なピラミッド型の建造物の前の広場
▶行動：敵を全滅させる
◎敵：DDOソルジャー（銃持ちあり。射撃に注意）</t>
  </si>
  <si>
    <t>1-06  [目標]  パイロン①を破壊</t>
  </si>
  <si>
    <t>■見た目：ピラミッド内部。中央にパイロン
▶行動：ウミがドアをハック→パイロンを調べて破壊
◇演出：ウミ「ドアを開けたわ」</t>
  </si>
  <si>
    <t>1-07  [戦闘]  大門の先の戦闘</t>
  </si>
  <si>
    <t>■見た目：壊したパイロンの向かいに階段、その先に大きな門
▶行動：大門を抜け、道をふさぐ敵を倒す
◎敵：DDOソルジャー
◆入手：階段上の宝箱</t>
  </si>
  <si>
    <t>1-08  [チュートリアル]  鴉の師「タイラン」</t>
  </si>
  <si>
    <t>■見た目：第2の門の外。カラスがとまっている
▶行動：カラスを調べる→タイラン登場→訓練→忍者コインでスキル習得
◇演出：タイランとの会話
◆入手：宝箱×3：Life Elixir</t>
  </si>
  <si>
    <t>1-09  [イベント]  暗転：妖魔の領域</t>
  </si>
  <si>
    <t>■見た目：画面が暗転→暗い通路に紫の炎。妖魔の縄張り
◇演出：セオリ「妖魔にもう見つかった」社を守る守護妖魔の影響（まだ遠いので弱い）
◆入手：空き箱の横の宝箱：Incense of Rebirth</t>
  </si>
  <si>
    <t>1-10  [移動・アクション]  鉄扉 → 巨大な頭部像 → 崩壊した交差点</t>
  </si>
  <si>
    <t>■見た目：大きな鉄扉を抜けると屋外。壊れた巨大な頭部の像、崩れた交差点
▶行動：八雲が頭部像に注目（演出）→交差点へ
◇演出：八雲「何があった…？」</t>
  </si>
  <si>
    <t>1-11  [戦闘]  長い通路で挟み撃ち</t>
  </si>
  <si>
    <t>■見た目：交差点から続く長い通路
▶行動：前後から来る兵を倒しながら抜ける（ここで25体撃破ミッション達成の目安）
◎敵：DDOソルジャー多数</t>
  </si>
  <si>
    <t>1-12  [拠点]  ダクト → DarkNest社②：カディスワイヤー入手</t>
  </si>
  <si>
    <t>■見た目：ダクト配管が連なる区画→上の階の社
▶行動：社の端末で鉤縄「カディスワイヤー」を入手。サイドミッション報告</t>
  </si>
  <si>
    <t>1-13  [チュートリアル]  ワイヤーで大きな溝を越える</t>
  </si>
  <si>
    <t>■見た目：社の横の大きな溝（落下エリア）
▶行動：カディスワイヤーで向こう岸へ移動。すぐもう一度使う場面がある</t>
  </si>
  <si>
    <t>1-14  [戦闘]  兵＋ドローンの広場</t>
  </si>
  <si>
    <t>■見た目：開けたエリア。コンテナ、メイン通路
▶行動：兵とドローンを全滅
◎敵：DDOソルジャー / ドローン(空中)</t>
  </si>
  <si>
    <t>1-15  [チュートリアル]  部屋で狂戦(バーサーク)を試す</t>
  </si>
  <si>
    <t>■見た目：閉じた部屋＝ロックされるアリーナ
▶行動：バーサーク状態でDDO兵を倒す→次の通路が開く
◎敵：DDOソルジャー</t>
  </si>
  <si>
    <t>1-16  [チュートリアル]  タイランと再会</t>
  </si>
  <si>
    <t>■見た目：通路の先
▶行動：追加のスキル習得
◇演出：タイランとの会話</t>
  </si>
  <si>
    <t>1-17  [戦闘]  通路の兵</t>
  </si>
  <si>
    <t>■見た目：ボス前の通路
▶行動：道中の兵を倒して進む
◎敵：DDOソルジャー</t>
  </si>
  <si>
    <t>1-18  [ボス]  BOSS：DDOコマンダー</t>
  </si>
  <si>
    <t>■見た目：大きなピラミッド（パイロン②）の外の広場
▶行動：HP2本・1フェーズ。薙ぎ払い連撃／溜め斬り連撃（4〜5段）を回避・パリィ
◎敵：DDOコマンダー（サイボーグ侍）
◇演出：コマンダー「ここまで来るとは、鴉の忍よ」→ 戦闘</t>
  </si>
  <si>
    <t>1-19  [目標]  パイロン②を破壊 → CLEAR</t>
  </si>
  <si>
    <t>■見た目：ピラミッド内部のパイロン
▶行動：ウミがドアを開ける→パイロン②を破壊
◇演出：Ch2「Haunted District」へ</t>
  </si>
  <si>
    <t>1-S1  [寄り道・収集]  サブ：DDO配給担当官を処刑</t>
  </si>
  <si>
    <t>■見た目：交差点の右の通路。壁走りで奥へ
▶行動：強化DDO兵（担当官）×3を倒す
◎敵：DDOオフィサー（強化兵）×3
◆入手：サイドミッション報酬</t>
  </si>
  <si>
    <t>1-S2  [寄り道・収集]  煉獄の門（Purgatory Gate）</t>
  </si>
  <si>
    <t>■見た目：交差点を左→トラックを回り込む→シャフトを登った屋上。青い炎
▶行動：青い炎をくぐると挑戦用アリーナ（強敵）
◎敵：強化された敵
◆入手：忍者コイン / 武器EXP</t>
  </si>
  <si>
    <t>1-S3  [寄り道・収集]  ゴーディ（QTE）</t>
  </si>
  <si>
    <t>■見た目：屋上から降り、ワイヤーで溝を越えた先の行き止まり
▶行動：ゴーディを調べる→ボタン入力QTEで捕まえる
◆入手：ゴーディ</t>
  </si>
  <si>
    <t>1-S4  [寄り道・収集]  コバルトリング（装飾品）</t>
  </si>
  <si>
    <t>■見た目：コンテナ2つに挟まれた細い道の突き当たり
▶行動：広場の戦闘後、メインと逆（右）へ
◆入手：宝箱：Cobalt Ring</t>
  </si>
  <si>
    <t>1-S5  [寄り道・収集]  サブ：データチップを探せ</t>
  </si>
  <si>
    <t>■見た目：メイン通路左側。箱3つの左隣
▶行動：落ちているデータチップを拾う
◆入手：データチップ</t>
  </si>
  <si>
    <t>No</t>
  </si>
  <si>
    <t>章</t>
  </si>
  <si>
    <t>種別</t>
  </si>
  <si>
    <t>区画</t>
  </si>
  <si>
    <t>見た目（ロケーション）</t>
  </si>
  <si>
    <t>プレイヤーの行動</t>
  </si>
  <si>
    <t>敵</t>
  </si>
  <si>
    <t>イベント・演出・会話</t>
  </si>
  <si>
    <t>アイテム・収集</t>
  </si>
  <si>
    <t>緊張度</t>
  </si>
  <si>
    <t>自作ゲームでの再現メモ（PhaseFlow条件の例）</t>
  </si>
  <si>
    <t>進行表（設計図の各ボックスを1行ずつ。緊張度 1=静か 〜 5=ボス）</t>
  </si>
  <si>
    <t>0-01</t>
  </si>
  <si>
    <t>0</t>
  </si>
  <si>
    <t>OP：DDO列車に乗り込む</t>
  </si>
  <si>
    <t>夜・黒い雨。高速で走る列車の屋根/車両。遠くに天空都市東京のシルエット</t>
  </si>
  <si>
    <t>ムービー後、列車上で操作開始</t>
  </si>
  <si>
    <t>ウミ(通信)「4つの社に潜入して暗黒龍の封印を破れ」</t>
  </si>
  <si>
    <t>Start → P1（カメラ演出のみ）</t>
  </si>
  <si>
    <t>0-02</t>
  </si>
  <si>
    <t>列車上の戦闘①</t>
  </si>
  <si>
    <t>細長い車両上＝横幅が狭い一本道のアリーナ</t>
  </si>
  <si>
    <t>弱/強攻撃のコンボ、パーフェクト回避(攻撃が当たる直前にRT+方向)</t>
  </si>
  <si>
    <t>DDOソルジャー(一般兵)</t>
  </si>
  <si>
    <t>基本攻撃 / パーフェクト回避</t>
  </si>
  <si>
    <t>P1: AllDead → P2</t>
  </si>
  <si>
    <t>0-03</t>
  </si>
  <si>
    <t>列車上の戦闘②</t>
  </si>
  <si>
    <t>同上。敵が囲むように湧く</t>
  </si>
  <si>
    <t>ブラッドバインドゲージを溜め「ブラッドレイヴンフォーム」へ変身。ボタン長押しで溜め攻撃</t>
  </si>
  <si>
    <t>DDOオフィサー(エリート)。赤く光る＝パワーアタック</t>
  </si>
  <si>
    <t>ブラッドレイヴンフォーム / パワーアタックのガード(LT+RT)・キャンセル</t>
  </si>
  <si>
    <t>P2: AllDead → P3（エリート入りのウェーブ）</t>
  </si>
  <si>
    <t>0-04</t>
  </si>
  <si>
    <t>増援 → 列車から飛び降りる</t>
  </si>
  <si>
    <t>天空都市東京が目前に迫る</t>
  </si>
  <si>
    <t>DDO兵の増援に押され、予定より早く列車を飛び降りる（Ch1冒頭につながる）</t>
  </si>
  <si>
    <t>P3: AllDead → ムービー（イベント）</t>
  </si>
  <si>
    <t>0-05</t>
  </si>
  <si>
    <t>ナレーション：暗黒龍と東京</t>
  </si>
  <si>
    <t>一枚絵/ムービー。呪いの雨、瘴気に沈んだ東京</t>
  </si>
  <si>
    <t>操作なし</t>
  </si>
  <si>
    <t>暗黒龍の亡骸、リュウ・ハヤブサとDDOが封印した経緯の説明</t>
  </si>
  <si>
    <t>（シーン切替）</t>
  </si>
  <si>
    <t>0-06</t>
  </si>
  <si>
    <t>【数日前・回想】DDO施設へ潜入</t>
  </si>
  <si>
    <t>DDOの秘密施設。ここから先は通信不可</t>
  </si>
  <si>
    <t>ミサキ「鴉の一族の予言：暗黒龍の巫女を殺せ」／ウミ「ここから先は一人よ」</t>
  </si>
  <si>
    <t>回想用に別ステージ扱い。Start → P1</t>
  </si>
  <si>
    <t>0-07</t>
  </si>
  <si>
    <t>地下洞窟：壁走り・壁蹴り</t>
  </si>
  <si>
    <t>地下の洞窟。谷(落下エリア)と高い足場が続く</t>
  </si>
  <si>
    <t>壁走りで谷を渡る／向かい合う壁を蹴って登る</t>
  </si>
  <si>
    <t>壁走り / 壁蹴り</t>
  </si>
  <si>
    <t>EnterArea(Area_CaveExit) → P2</t>
  </si>
  <si>
    <t>0-08</t>
  </si>
  <si>
    <t>施設の警備：背後から暗殺</t>
  </si>
  <si>
    <t>施設の通路・外周。警備兵が巡回/こちらに気づいていない</t>
  </si>
  <si>
    <t>見つからずに背後へ回り込み暗殺(Y/△)</t>
  </si>
  <si>
    <t>DDOソルジャー(警備)</t>
  </si>
  <si>
    <t>暗殺</t>
  </si>
  <si>
    <t>気づかれたら groupId 単位で一斉に気づく（既存仕様が流用可）</t>
  </si>
  <si>
    <t>0-09</t>
  </si>
  <si>
    <t>独房でセオリと対面</t>
  </si>
  <si>
    <t>施設最奥の独房</t>
  </si>
  <si>
    <t>セオリ「私を殺しても封印は残る。封印は4つ」→ 手を組む。お守り(アイテム)を受け取る</t>
  </si>
  <si>
    <t>EnterArea(Area_Cell) → ムービー</t>
  </si>
  <si>
    <t>0-10</t>
  </si>
  <si>
    <t>脱出：カガチの待ち伏せ</t>
  </si>
  <si>
    <t>施設の出口付近の通路</t>
  </si>
  <si>
    <t>DDO大将軍カガチが立ちはだかる → セオリの閃光弾で逃走 → カガチがリュウに報告。Ch1へ</t>
  </si>
  <si>
    <t>戦闘なし。ムービー → GameClear(チャプタークリア)</t>
  </si>
  <si>
    <t>1-01</t>
  </si>
  <si>
    <t>1</t>
  </si>
  <si>
    <t>START：コンテナヤード</t>
  </si>
  <si>
    <t>市街の真ん中のコンテナヤード。雨のネオン街、積まれたコンテナ</t>
  </si>
  <si>
    <t>セオリの通信で目的説明→探索開始</t>
  </si>
  <si>
    <t>セオリ「最初の社は東京の中心。DDOの防衛網を落とすためパイロン3基を壊して」</t>
  </si>
  <si>
    <t>スタート地点の宝箱：Crimson Blood Balm(回復)</t>
  </si>
  <si>
    <t>Start → P1</t>
  </si>
  <si>
    <t>1-02</t>
  </si>
  <si>
    <t>路地の奥・ゲート前</t>
  </si>
  <si>
    <t>細い路地。突き当たりにゲート</t>
  </si>
  <si>
    <t>ゲート前の宝箱を回収</t>
  </si>
  <si>
    <t>宝箱：Senjin War Brew(攻撃UP)</t>
  </si>
  <si>
    <t>1-03</t>
  </si>
  <si>
    <t>壁蹴りで上の足場へ</t>
  </si>
  <si>
    <t>ゲートの先に向かい合う2枚の壁</t>
  </si>
  <si>
    <t>壁蹴りで上の足場へ→先へ進む</t>
  </si>
  <si>
    <t>空のダンボール裏の宝箱：Life Elixir</t>
  </si>
  <si>
    <t>EnterArea(Area_Upper) → P2</t>
  </si>
  <si>
    <t>1-04</t>
  </si>
  <si>
    <t>DarkNest社①</t>
  </si>
  <si>
    <t>道の先の社(端末)</t>
  </si>
  <si>
    <t>ミッション受注・強化。平行の壁を蹴って上へ</t>
  </si>
  <si>
    <t>サイドミッション受注</t>
  </si>
  <si>
    <t>セーブポイント兼ショップ</t>
  </si>
  <si>
    <t>1-05</t>
  </si>
  <si>
    <t>ピラミッド前の戦闘</t>
  </si>
  <si>
    <t>巨大なピラミッド型の建造物の前の広場</t>
  </si>
  <si>
    <t>敵を全滅させる</t>
  </si>
  <si>
    <t>DDOソルジャー（銃持ちあり。射撃に注意）</t>
  </si>
  <si>
    <t>P2: AllDead → P3</t>
  </si>
  <si>
    <t>1-06</t>
  </si>
  <si>
    <t>パイロン①を破壊</t>
  </si>
  <si>
    <t>ピラミッド内部。中央にパイロン</t>
  </si>
  <si>
    <t>ウミがドアをハック→パイロンを調べて破壊</t>
  </si>
  <si>
    <t>ウミ「ドアを開けたわ」</t>
  </si>
  <si>
    <t>P3: EnterArea(Area_Pylon1) → イベント</t>
  </si>
  <si>
    <t>1-07</t>
  </si>
  <si>
    <t>大門の先の戦闘</t>
  </si>
  <si>
    <t>壊したパイロンの向かいに階段、その先に大きな門</t>
  </si>
  <si>
    <t>大門を抜け、道をふさぐ敵を倒す</t>
  </si>
  <si>
    <t>DDOソルジャー</t>
  </si>
  <si>
    <t>階段上の宝箱</t>
  </si>
  <si>
    <t>P4: AllDead → P5</t>
  </si>
  <si>
    <t>1-08</t>
  </si>
  <si>
    <t>鴉の師「タイラン」</t>
  </si>
  <si>
    <t>第2の門の外。カラスがとまっている</t>
  </si>
  <si>
    <t>カラスを調べる→タイラン登場→訓練→忍者コインでスキル習得</t>
  </si>
  <si>
    <t>タイランとの会話</t>
  </si>
  <si>
    <t>スキル習得（Fatal Flash等のカウンター系推奨）</t>
  </si>
  <si>
    <t>宝箱×3：Life Elixir</t>
  </si>
  <si>
    <t>EnterArea(Area_Tyran) → 会話</t>
  </si>
  <si>
    <t>1-09</t>
  </si>
  <si>
    <t>暗転：妖魔の領域</t>
  </si>
  <si>
    <t>画面が暗転→暗い通路に紫の炎。妖魔の縄張り</t>
  </si>
  <si>
    <t>セオリ「妖魔にもう見つかった」社を守る守護妖魔の影響（まだ遠いので弱い）</t>
  </si>
  <si>
    <t>空き箱の横の宝箱：Incense of Rebirth</t>
  </si>
  <si>
    <t>紫の炎＝エリア演出（ポストエフェクト/エフェクトで再現）</t>
  </si>
  <si>
    <t>1-10</t>
  </si>
  <si>
    <t>鉄扉 → 巨大な頭部像 → 崩壊した交差点</t>
  </si>
  <si>
    <t>大きな鉄扉を抜けると屋外。壊れた巨大な頭部の像、崩れた交差点</t>
  </si>
  <si>
    <t>八雲が頭部像に注目（演出）→交差点へ</t>
  </si>
  <si>
    <t>八雲「何があった…？」</t>
  </si>
  <si>
    <t>EnterArea(Area_Head) → カメラ演出</t>
  </si>
  <si>
    <t>1-S1</t>
  </si>
  <si>
    <t>サブ：DDO配給担当官を処刑</t>
  </si>
  <si>
    <t>交差点の右の通路。壁走りで奥へ</t>
  </si>
  <si>
    <t>強化DDO兵（担当官）×3を倒す</t>
  </si>
  <si>
    <t>DDOオフィサー（強化兵）×3</t>
  </si>
  <si>
    <t>サイドミッション報酬</t>
  </si>
  <si>
    <t>サブ用 groupId を別に作る</t>
  </si>
  <si>
    <t>1-11</t>
  </si>
  <si>
    <t>長い通路で挟み撃ち</t>
  </si>
  <si>
    <t>交差点から続く長い通路</t>
  </si>
  <si>
    <t>前後から来る兵を倒しながら抜ける（ここで25体撃破ミッション達成の目安）</t>
  </si>
  <si>
    <t>DDOソルジャー多数</t>
  </si>
  <si>
    <t>P6: G_Front/G_Back の2グループ同時出現 → AllDead</t>
  </si>
  <si>
    <t>1-12</t>
  </si>
  <si>
    <t>ダクト → DarkNest社②：カディスワイヤー入手</t>
  </si>
  <si>
    <t>ダクト配管が連なる区画→上の階の社</t>
  </si>
  <si>
    <t>社の端末で鉤縄「カディスワイヤー」を入手。サイドミッション報告</t>
  </si>
  <si>
    <t>カディスワイヤー（グラップル）</t>
  </si>
  <si>
    <t>EnterArea(Area_Shrine2) → 能力解放</t>
  </si>
  <si>
    <t>1-13</t>
  </si>
  <si>
    <t>ワイヤーで大きな溝を越える</t>
  </si>
  <si>
    <t>社の横の大きな溝（落下エリア）</t>
  </si>
  <si>
    <t>カディスワイヤーで向こう岸へ移動。すぐもう一度使う場面がある</t>
  </si>
  <si>
    <t>カディスワイヤー</t>
  </si>
  <si>
    <t>ワイヤー用の引っ掛けポイントを配置</t>
  </si>
  <si>
    <t>1-S2</t>
  </si>
  <si>
    <t>煉獄の門（Purgatory Gate）</t>
  </si>
  <si>
    <t>交差点を左→トラックを回り込む→シャフトを登った屋上。青い炎</t>
  </si>
  <si>
    <t>青い炎をくぐると挑戦用アリーナ（強敵）</t>
  </si>
  <si>
    <t>強化された敵</t>
  </si>
  <si>
    <t>忍者コイン / 武器EXP</t>
  </si>
  <si>
    <t>任意の高難度ウェーブ</t>
  </si>
  <si>
    <t>1-S3</t>
  </si>
  <si>
    <t>ゴーディ（QTE）</t>
  </si>
  <si>
    <t>屋上から降り、ワイヤーで溝を越えた先の行き止まり</t>
  </si>
  <si>
    <t>ゴーディを調べる→ボタン入力QTEで捕まえる</t>
  </si>
  <si>
    <t>ゴーディ</t>
  </si>
  <si>
    <t>1-14</t>
  </si>
  <si>
    <t>兵＋ドローンの広場</t>
  </si>
  <si>
    <t>開けたエリア。コンテナ、メイン通路</t>
  </si>
  <si>
    <t>兵とドローンを全滅</t>
  </si>
  <si>
    <t>DDOソルジャー / ドローン(空中)</t>
  </si>
  <si>
    <t>P7: AllDead → P8</t>
  </si>
  <si>
    <t>1-S4</t>
  </si>
  <si>
    <t>コバルトリング（装飾品）</t>
  </si>
  <si>
    <t>コンテナ2つに挟まれた細い道の突き当たり</t>
  </si>
  <si>
    <t>広場の戦闘後、メインと逆（右）へ</t>
  </si>
  <si>
    <t>宝箱：Cobalt Ring</t>
  </si>
  <si>
    <t>1-S5</t>
  </si>
  <si>
    <t>サブ：データチップを探せ</t>
  </si>
  <si>
    <t>メイン通路左側。箱3つの左隣</t>
  </si>
  <si>
    <t>落ちているデータチップを拾う</t>
  </si>
  <si>
    <t>データチップ</t>
  </si>
  <si>
    <t>1-15</t>
  </si>
  <si>
    <t>部屋で狂戦(バーサーク)を試す</t>
  </si>
  <si>
    <t>閉じた部屋＝ロックされるアリーナ</t>
  </si>
  <si>
    <t>バーサーク状態でDDO兵を倒す→次の通路が開く</t>
  </si>
  <si>
    <t>バーサーク状態</t>
  </si>
  <si>
    <t>P8: AllDead → 扉オープン</t>
  </si>
  <si>
    <t>1-16</t>
  </si>
  <si>
    <t>タイランと再会</t>
  </si>
  <si>
    <t>通路の先</t>
  </si>
  <si>
    <t>追加のスキル習得</t>
  </si>
  <si>
    <t>スキル習得</t>
  </si>
  <si>
    <t>1-17</t>
  </si>
  <si>
    <t>通路の兵</t>
  </si>
  <si>
    <t>ボス前の通路</t>
  </si>
  <si>
    <t>道中の兵を倒して進む</t>
  </si>
  <si>
    <t>P9: EnterArea(Area_Boss) → P10</t>
  </si>
  <si>
    <t>1-18</t>
  </si>
  <si>
    <t>BOSS：DDOコマンダー</t>
  </si>
  <si>
    <t>大きなピラミッド（パイロン②）の外の広場</t>
  </si>
  <si>
    <t>HP2本・1フェーズ。薙ぎ払い連撃／溜め斬り連撃（4〜5段）を回避・パリィ</t>
  </si>
  <si>
    <t>DDOコマンダー（サイボーグ侍）</t>
  </si>
  <si>
    <t>コマンダー「ここまで来るとは、鴉の忍よ」→ 戦闘</t>
  </si>
  <si>
    <t>赤く光る溜め＝防御不能。ブラッドバインド攻撃/奥義で溜めを潰せる</t>
  </si>
  <si>
    <t>EnterArea(Area_Boss) / BossAppear → P10: AllDead</t>
  </si>
  <si>
    <t>1-19</t>
  </si>
  <si>
    <t>パイロン②を破壊 → CLEAR</t>
  </si>
  <si>
    <t>ピラミッド内部のパイロン</t>
  </si>
  <si>
    <t>ウミがドアを開ける→パイロン②を破壊</t>
  </si>
  <si>
    <t>Ch2「Haunted District」へ</t>
  </si>
  <si>
    <t>P10: AllDead / GameClear</t>
  </si>
  <si>
    <t>登場する敵・キャラクター</t>
  </si>
  <si>
    <t>名前</t>
  </si>
  <si>
    <t>分類</t>
  </si>
  <si>
    <t>登場</t>
  </si>
  <si>
    <t>特徴・役割</t>
  </si>
  <si>
    <t>対処 / 自作ゲームで使えそうなポイント</t>
  </si>
  <si>
    <t>雑魚</t>
  </si>
  <si>
    <t>Ch0 / Ch1</t>
  </si>
  <si>
    <t>DDO（Divine Dragon Order）の一般兵。近接型と銃持ちがいる。チュートリアルの相手で、Ch1のサブ「25体撃破」の対象</t>
  </si>
  <si>
    <t>銃持ちは遠距離から撃ってくる→近接と混ぜて「放置すると痛い敵」を作る</t>
  </si>
  <si>
    <t>DDOオフィサー</t>
  </si>
  <si>
    <t>エリート</t>
  </si>
  <si>
    <t>強化された兵。赤く光るパワーアタック（ガードを崩す強攻撃）を使う。Ch1サブの「配給担当官」も強化兵</t>
  </si>
  <si>
    <t>赤発光＝予兆。ガード(LT+RT)かキャンセルで返す練習台</t>
  </si>
  <si>
    <t>ドローン</t>
  </si>
  <si>
    <t>雑魚(空中)</t>
  </si>
  <si>
    <t>Ch1</t>
  </si>
  <si>
    <t>兵と一緒に出る空中の敵</t>
  </si>
  <si>
    <t>地上の敵と混ぜて視線を上下に散らす</t>
  </si>
  <si>
    <t>DDOコマンダー</t>
  </si>
  <si>
    <t>Ch1 終盤</t>
  </si>
  <si>
    <t>本編最初のボス。サイボーグの侍。HP2本・1フェーズ。技は「薙ぎ払いの連撃」「溜め斬りの連撃」の2系統（4〜5段）。動きは遅め</t>
  </si>
  <si>
    <t>溜め中にブラッドバインド攻撃/奥義を当てると溜めを潰せる。パリィ・回避の「試験」として作られたボス</t>
  </si>
  <si>
    <t>カガチ</t>
  </si>
  <si>
    <t>Ch0 終盤</t>
  </si>
  <si>
    <t>DDOの大将軍。脱出時に立ちはだかるが戦闘はなし。セオリの閃光弾で逃げられ、リュウに報告する</t>
  </si>
  <si>
    <t>ムービーのみ（ボス出現カメラの演出が流用できる）</t>
  </si>
  <si>
    <t>守護妖魔（気配のみ）</t>
  </si>
  <si>
    <t>演出</t>
  </si>
  <si>
    <t>Ch1 中盤</t>
  </si>
  <si>
    <t>社を守る妖魔。Ch1では姿は出ず、暗転と紫の炎で「影響」だけを見せる</t>
  </si>
  <si>
    <t>本体を出さずにエリアの色・炎で次章のボスを予告する</t>
  </si>
  <si>
    <t>キャラクター（味方・通信）</t>
  </si>
  <si>
    <t>八雲（ヤクモ）</t>
  </si>
  <si>
    <t>主人公</t>
  </si>
  <si>
    <t>鴉の一族の忍。双刀で戦う</t>
  </si>
  <si>
    <t>セオリ</t>
  </si>
  <si>
    <t>暗黒龍の巫女</t>
  </si>
  <si>
    <t>暗黒龍の封印(4つ)を作った本人。Ch0で手を組み、Ch1から通信でナビ</t>
  </si>
  <si>
    <t>ウミ</t>
  </si>
  <si>
    <t>通信役</t>
  </si>
  <si>
    <t>鴉の一族のサポート。ドアのハッキングなど</t>
  </si>
  <si>
    <t>ミサキ</t>
  </si>
  <si>
    <t>Ch0で予言を念押しする</t>
  </si>
  <si>
    <t>タイラン</t>
  </si>
  <si>
    <t>鴉の師</t>
  </si>
  <si>
    <t>カラスを調べると現れ、訓練とスキル習得をしてくれる</t>
  </si>
  <si>
    <t>リュウ・ハヤブサ</t>
  </si>
  <si>
    <t>（名前のみ）</t>
  </si>
  <si>
    <t>カガチから報告を受ける。過去作の主人公</t>
  </si>
  <si>
    <t>NINJA GAIDEN 4　Chapter 0 / Chapter 1　ステージまとめ</t>
  </si>
  <si>
    <t>Chapter 0</t>
  </si>
  <si>
    <t>Chapter 1</t>
  </si>
  <si>
    <t>タイトル</t>
  </si>
  <si>
    <t>Dark Descendant（プロローグ）</t>
  </si>
  <si>
    <t>Bloodsoaked Tokyo</t>
  </si>
  <si>
    <t>ロケーション</t>
  </si>
  <si>
    <t>天空都市東京へ向かうDDO列車 → （数日前）地下洞窟・DDO施設</t>
  </si>
  <si>
    <t>天空都市東京（コンテナヤード、ピラミッド、崩壊した交差点 ほか）</t>
  </si>
  <si>
    <t>目的</t>
  </si>
  <si>
    <t>暗黒龍の巫女（セオリ）を暗殺する → 手を組んで脱出</t>
  </si>
  <si>
    <t>DDO防衛網のパイロンを破壊（Ch1では2基目まで）</t>
  </si>
  <si>
    <t>なし（最後はカガチの待ち伏せムービー）</t>
  </si>
  <si>
    <t>教わること</t>
  </si>
  <si>
    <t>基本攻撃 / パーフェクト回避 / ブラッドレイヴンフォーム / パワーアタック対処 / 壁走り・壁蹴り / 暗殺</t>
  </si>
  <si>
    <t>スキル習得(タイラン) / カディスワイヤー / バーサーク / DarkNest社・サイドミッション</t>
  </si>
  <si>
    <t>収集要素</t>
  </si>
  <si>
    <t>なし</t>
  </si>
  <si>
    <t>ゴーディ1・煉獄の門1・装飾品1（コバルトリング）</t>
  </si>
  <si>
    <t>サイドミッション</t>
  </si>
  <si>
    <t>DDO配給担当官の処刑 / データチップ / DDO兵25体撃破</t>
  </si>
  <si>
    <t>構成の特徴</t>
  </si>
  <si>
    <t>「現在(列車)→ナレーション→数日前の回想」で時間が前後する。戦闘→移動→ステルスと1つずつ教える一本道</t>
  </si>
  <si>
    <t>一本道のメインルートに短い寄り道が枝分かれ。途中で新能力（ワイヤー）を渡し、そのすぐ後に寄り道で使わせる</t>
  </si>
  <si>
    <t>シートの見方</t>
  </si>
  <si>
    <t>Ch0 設計図 / Ch1 設計図</t>
  </si>
  <si>
    <t>ステージの流れを上から下へ並べた設計図。左の帯が区画、色が種別、右下の●が緊張度。点線は寄り道</t>
  </si>
  <si>
    <t>進行表</t>
  </si>
  <si>
    <t>設計図の内容を1行ずつ表にしたもの。フィルタで「戦闘だけ」等に絞れる。右にテンポのグラフ。最後の列に自作ゲームのPhaseFlow CSVで再現する場合の条件の例</t>
  </si>
  <si>
    <t>敵・ボス</t>
  </si>
  <si>
    <t>登場する敵とキャラクター、ボスの技</t>
  </si>
  <si>
    <t>注意</t>
  </si>
  <si>
    <t>・攻略記事とWikiの文章から組み立てたもの。地形の大きさ・正確な配置は書かれていないので、「見た目」は文章ベースの説明。寸法は実際のプレイ映像で確認すること</t>
  </si>
  <si>
    <t>・技名・アイテム名の日本語版の正式名称は未確認（カタカナ/英語のまま書いたものがある）</t>
  </si>
  <si>
    <t>・Ch0の順番：Wikiでは「列車(現在)→ナレーション→数日前に施設へ潜入」。攻略記事によっては列車→洞窟→施設を一続きとして書いている</t>
  </si>
  <si>
    <t>・緊張度は資料をもとにした目安（主観）</t>
  </si>
  <si>
    <t>参考</t>
  </si>
  <si>
    <t>https://ninjagaiden.fandom.com/wiki/Chapter_0:_Dark_Descendant</t>
  </si>
  <si>
    <t>https://ninjagaiden.fandom.com/wiki/Chapter_1:_Bloodsoaked_Tokyo</t>
  </si>
  <si>
    <t>https://www.sportskeeda.com/esports/ninja-gaiden-4-walkthrough-how-complete-dark-descendant-chapter-0</t>
  </si>
  <si>
    <t>https://www.sportskeeda.com/esports/ninja-gaiden-4-walkthrough-how-complete-bloodsoaked-tokyo-chapter-1</t>
  </si>
  <si>
    <t>https://deltiasgaming.com/ninja-gaiden-4-how-to-defeat-ddo-commander/</t>
  </si>
  <si>
    <t>参考動画</t>
  </si>
  <si>
    <t>NINJA GAIDEN 4 PART 1 | Prologue &amp; Chapter 1（YouTube）</t>
  </si>
  <si>
    <t>CHAPTER 0　間取り図（区画ごと）</t>
  </si>
  <si>
    <t>1マス＝1m（プレイ動画からの目測）。図の上が奥・下が手前。Sが入ってくる位置。右の表に置く物の一覧。区画名をクリックすると動画のその場面が開く。</t>
  </si>
  <si>
    <t>凡例</t>
  </si>
  <si>
    <t>格子・金網の床</t>
  </si>
  <si>
    <t>コンクリートの床</t>
  </si>
  <si>
    <t>道路・広場の床</t>
  </si>
  <si>
    <t>ぬれた床</t>
  </si>
  <si>
    <t>土・岩の地面</t>
  </si>
  <si>
    <t>タイルの床</t>
  </si>
  <si>
    <t>青いタイルの床</t>
  </si>
  <si>
    <t>赤い照明の床</t>
  </si>
  <si>
    <t>白い床</t>
  </si>
  <si>
    <t>木の床</t>
  </si>
  <si>
    <t>車両の縁の通路</t>
  </si>
  <si>
    <t>屋根（波板）</t>
  </si>
  <si>
    <t>車内の床</t>
  </si>
  <si>
    <t>壁</t>
  </si>
  <si>
    <t>白いパネルの壁</t>
  </si>
  <si>
    <t>落書きの壁</t>
  </si>
  <si>
    <t>黄色い模様の壁</t>
  </si>
  <si>
    <t>青い模様の壁</t>
  </si>
  <si>
    <t>岩</t>
  </si>
  <si>
    <t>落下・吹き抜け</t>
  </si>
  <si>
    <t>車両の連結部</t>
  </si>
  <si>
    <t>屋根の縁</t>
  </si>
  <si>
    <t>水</t>
  </si>
  <si>
    <t>ガラスの格子の壁</t>
  </si>
  <si>
    <t>一段高い通路</t>
  </si>
  <si>
    <t>壁蹴りの縦穴</t>
  </si>
  <si>
    <t>壁走りできる壁</t>
  </si>
  <si>
    <t>階段</t>
  </si>
  <si>
    <t>はしご</t>
  </si>
  <si>
    <t>柵・手すり・金網</t>
  </si>
  <si>
    <t>出入口・扉</t>
  </si>
  <si>
    <t>門</t>
  </si>
  <si>
    <t>青い炎の門</t>
  </si>
  <si>
    <t>ロックされる扉</t>
  </si>
  <si>
    <t>コンテナ</t>
  </si>
  <si>
    <t>白いDDOコンテナ・箱</t>
  </si>
  <si>
    <t>白い箱・木箱</t>
  </si>
  <si>
    <t>箱・ゴミ</t>
  </si>
  <si>
    <t>パレット</t>
  </si>
  <si>
    <t>がれき・板</t>
  </si>
  <si>
    <t>鉄骨・門枠</t>
  </si>
  <si>
    <t>小屋</t>
  </si>
  <si>
    <t>柱</t>
  </si>
  <si>
    <t>配管</t>
  </si>
  <si>
    <t>ケーブル・ホース</t>
  </si>
  <si>
    <t>ドラム缶</t>
  </si>
  <si>
    <t>水槽</t>
  </si>
  <si>
    <t>大型ファン</t>
  </si>
  <si>
    <t>像</t>
  </si>
  <si>
    <t>シート</t>
  </si>
  <si>
    <t>シャッター</t>
  </si>
  <si>
    <t>ロッカー</t>
  </si>
  <si>
    <t>家具</t>
  </si>
  <si>
    <t>リフト</t>
  </si>
  <si>
    <t>散らばった紙</t>
  </si>
  <si>
    <t>土嚢</t>
  </si>
  <si>
    <t>室外機</t>
  </si>
  <si>
    <t>配電盤</t>
  </si>
  <si>
    <t>自販機</t>
  </si>
  <si>
    <t>コーン</t>
  </si>
  <si>
    <t>バリケード</t>
  </si>
  <si>
    <t>赤い矢印の壁（戦闘中）</t>
  </si>
  <si>
    <t>床板</t>
  </si>
  <si>
    <t>黄色い床板</t>
  </si>
  <si>
    <t>黄緑の床板</t>
  </si>
  <si>
    <t>黄黒の縞</t>
  </si>
  <si>
    <t>ヘリポート</t>
  </si>
  <si>
    <t>ガラスのピラミッド</t>
  </si>
  <si>
    <t>ボス戦の床</t>
  </si>
  <si>
    <t>モニター</t>
  </si>
  <si>
    <t>看板・標識</t>
  </si>
  <si>
    <t>電柱・街灯・灯籠</t>
  </si>
  <si>
    <t>電線</t>
  </si>
  <si>
    <t>照明</t>
  </si>
  <si>
    <t>赤い灯</t>
  </si>
  <si>
    <t>青い灯・ネオン</t>
  </si>
  <si>
    <t>ピンクの灯・ネオン</t>
  </si>
  <si>
    <t>黄色ネオン</t>
  </si>
  <si>
    <t>紫の炎</t>
  </si>
  <si>
    <t>ワイヤー点</t>
  </si>
  <si>
    <t>スタート・入口(S)</t>
  </si>
  <si>
    <t>出口</t>
  </si>
  <si>
    <t>銃の敵</t>
  </si>
  <si>
    <t>配給担当官</t>
  </si>
  <si>
    <t>ボス・カガチ</t>
  </si>
  <si>
    <t>宝箱</t>
  </si>
  <si>
    <t>収集物</t>
  </si>
  <si>
    <t>DarkNest社</t>
  </si>
  <si>
    <t>パイロン</t>
  </si>
  <si>
    <t>会話・イベント</t>
  </si>
  <si>
    <t>暗殺ポイント</t>
  </si>
  <si>
    <t>メモ</t>
  </si>
  <si>
    <t>0-1　DDO列車（6両）　上の段→下の段の順に進む　（幅64m × 奥行20m）</t>
  </si>
  <si>
    <t>動画 0:50 ▶</t>
  </si>
  <si>
    <t>走る列車の上。両側はトンネルの壁で、リング状の照明が並ぶ。車両の間は連結部（すき間）。</t>
  </si>
  <si>
    <t>トンネルの壁（リング照明）</t>
  </si>
  <si>
    <t>トンネルの壁</t>
  </si>
  <si>
    <t>トンネルの壁（赤・青の灯）</t>
  </si>
  <si>
    <t>1両目：平台車（オレンジ縁の通路）</t>
  </si>
  <si>
    <t>コンテナ(扉)</t>
  </si>
  <si>
    <t>白箱</t>
  </si>
  <si>
    <t>板</t>
  </si>
  <si>
    <t>S</t>
  </si>
  <si>
    <t>連結</t>
  </si>
  <si>
    <t>2両目：平台車</t>
  </si>
  <si>
    <t>白箱(パレット)</t>
  </si>
  <si>
    <t>赤</t>
  </si>
  <si>
    <t>3両目：貨物車（屋根あり）</t>
  </si>
  <si>
    <t>オレンジの壁パネル</t>
  </si>
  <si>
    <t>はしご↑屋根</t>
  </si>
  <si>
    <t>箱</t>
  </si>
  <si>
    <t>↓ 下の段へ</t>
  </si>
  <si>
    <t>4両目：屋根の上（波板）</t>
  </si>
  <si>
    <t>縁（落下）</t>
  </si>
  <si>
    <t>はしご↓</t>
  </si>
  <si>
    <t>赤灯</t>
  </si>
  <si>
    <t>青灯</t>
  </si>
  <si>
    <t>5両目：囲まれた車両</t>
  </si>
  <si>
    <t>ロッカー・換気口</t>
  </si>
  <si>
    <t>6両目：平台車（最後）</t>
  </si>
  <si>
    <t>白箱の山</t>
  </si>
  <si>
    <t>通信</t>
  </si>
  <si>
    <t>飛び降り</t>
  </si>
  <si>
    <t>種類</t>
  </si>
  <si>
    <t>大きさ(m)</t>
  </si>
  <si>
    <t>位置(x,y)</t>
  </si>
  <si>
    <t>4 × 4</t>
  </si>
  <si>
    <t>(16, 2)</t>
  </si>
  <si>
    <t>2 × 1</t>
  </si>
  <si>
    <t>(14, 1)</t>
  </si>
  <si>
    <t>(14, 6)</t>
  </si>
  <si>
    <t>(7, 5)</t>
  </si>
  <si>
    <t>(9, 5)</t>
  </si>
  <si>
    <t>1 × 1</t>
  </si>
  <si>
    <t>(1, 3)</t>
  </si>
  <si>
    <t>(11, 2)</t>
  </si>
  <si>
    <t>(12, 4)</t>
  </si>
  <si>
    <t>(13, 3)</t>
  </si>
  <si>
    <t>(38, 2)</t>
  </si>
  <si>
    <t>3 × 1</t>
  </si>
  <si>
    <t>(30, 5)</t>
  </si>
  <si>
    <t>(28, 0)</t>
  </si>
  <si>
    <t>(30, 3)</t>
  </si>
  <si>
    <t>(34, 3)</t>
  </si>
  <si>
    <t>(53, 3)</t>
  </si>
  <si>
    <t>(46, 2)</t>
  </si>
  <si>
    <t>(58, 3)</t>
  </si>
  <si>
    <t>(59, 4)</t>
  </si>
  <si>
    <t>20 × 4</t>
  </si>
  <si>
    <t>(0, 13)</t>
  </si>
  <si>
    <t>(2, 14)</t>
  </si>
  <si>
    <t>(6, 11)</t>
  </si>
  <si>
    <t>(14, 11)</t>
  </si>
  <si>
    <t>(10, 14)</t>
  </si>
  <si>
    <t>(12, 15)</t>
  </si>
  <si>
    <t>8 × 1</t>
  </si>
  <si>
    <t>(25, 13)</t>
  </si>
  <si>
    <t>(25, 16)</t>
  </si>
  <si>
    <t>(33, 14)</t>
  </si>
  <si>
    <t>3 × 2</t>
  </si>
  <si>
    <t>(58, 13)</t>
  </si>
  <si>
    <t>(58, 15)</t>
  </si>
  <si>
    <t>(50, 14)</t>
  </si>
  <si>
    <t>1 × 2</t>
  </si>
  <si>
    <t>(63, 14)</t>
  </si>
  <si>
    <t>0-2　雨の峡谷・洞窟の入口（数日前・回想のスタート）　（幅36m × 奥行22m）</t>
  </si>
  <si>
    <t>動画 11:00 ▶</t>
  </si>
  <si>
    <t>外は雨。地面はぬれた岩と水たまり。</t>
  </si>
  <si>
    <t>岩壁</t>
  </si>
  <si>
    <t>水たまり</t>
  </si>
  <si>
    <t>鉄板</t>
  </si>
  <si>
    <t>鉄骨の小屋</t>
  </si>
  <si>
    <t>段</t>
  </si>
  <si>
    <t>青ドラム</t>
  </si>
  <si>
    <t>吊り灯</t>
  </si>
  <si>
    <t>出口→</t>
  </si>
  <si>
    <t>6 × 3</t>
  </si>
  <si>
    <t>(6, 12)</t>
  </si>
  <si>
    <t>4 × 2</t>
  </si>
  <si>
    <t>(16, 5)</t>
  </si>
  <si>
    <t>2 × 2</t>
  </si>
  <si>
    <t>(10, 8)</t>
  </si>
  <si>
    <t>6 × 5</t>
  </si>
  <si>
    <t>(20, 12)</t>
  </si>
  <si>
    <t>(22, 11)</t>
  </si>
  <si>
    <t>(26, 14)</t>
  </si>
  <si>
    <t>(3, 10)</t>
  </si>
  <si>
    <t>2 × 4</t>
  </si>
  <si>
    <t>(34, 9)</t>
  </si>
  <si>
    <t>0-3　谷を壁走りで渡る → 壁蹴りの縦穴　（幅36m × 奥行16m）</t>
  </si>
  <si>
    <t>動画 12:25 ▶</t>
  </si>
  <si>
    <t>左の岸から右の岸へ、上の岩壁を壁走りで渡る。</t>
  </si>
  <si>
    <t>黄色い印の岩壁（壁走り）</t>
  </si>
  <si>
    <t>谷（落下）</t>
  </si>
  <si>
    <t>鉄の門枠</t>
  </si>
  <si>
    <t>黄色い配管</t>
  </si>
  <si>
    <t>カゴ付き灯</t>
  </si>
  <si>
    <t>壁蹴りの縦穴↑</t>
  </si>
  <si>
    <t>黄黒の柵</t>
  </si>
  <si>
    <t>垂れたケーブル</t>
  </si>
  <si>
    <t>16 × 1</t>
  </si>
  <si>
    <t>(10, 0)</t>
  </si>
  <si>
    <t>16 × 13</t>
  </si>
  <si>
    <t>(10, 1)</t>
  </si>
  <si>
    <t>5 × 4</t>
  </si>
  <si>
    <t>(29, 6)</t>
  </si>
  <si>
    <t>1 × 6</t>
  </si>
  <si>
    <t>(28, 5)</t>
  </si>
  <si>
    <t>(33, 1)</t>
  </si>
  <si>
    <t>(26, 12)</t>
  </si>
  <si>
    <t>4 × 1</t>
  </si>
  <si>
    <t>(20, 14)</t>
  </si>
  <si>
    <t>(1, 7)</t>
  </si>
  <si>
    <t>0-4　施設の足場が見える洞窟（戦闘・暗殺）　（幅36m × 奥行22m）</t>
  </si>
  <si>
    <t>動画 13:00 ▶</t>
  </si>
  <si>
    <t>左に施設の鉄骨足場。青いライトが点々と置かれている。</t>
  </si>
  <si>
    <t>鉄骨の足場</t>
  </si>
  <si>
    <t>青く光る小屋</t>
  </si>
  <si>
    <t>投光器</t>
  </si>
  <si>
    <t>青いコンテナ</t>
  </si>
  <si>
    <t>黄色い板</t>
  </si>
  <si>
    <t>黄色い塗装の壁</t>
  </si>
  <si>
    <t>→</t>
  </si>
  <si>
    <t>6 × 10</t>
  </si>
  <si>
    <t>(2, 2)</t>
  </si>
  <si>
    <t>(3, 12)</t>
  </si>
  <si>
    <t>3 × 3</t>
  </si>
  <si>
    <t>(10, 4)</t>
  </si>
  <si>
    <t>6 × 4</t>
  </si>
  <si>
    <t>(28, 2)</t>
  </si>
  <si>
    <t>(18, 10)</t>
  </si>
  <si>
    <t>(16, 12)</t>
  </si>
  <si>
    <t>(24, 14)</t>
  </si>
  <si>
    <t>(20, 13)</t>
  </si>
  <si>
    <t>1 × 8</t>
  </si>
  <si>
    <t>(34, 8)</t>
  </si>
  <si>
    <t>(1, 17)</t>
  </si>
  <si>
    <t>1 × 3</t>
  </si>
  <si>
    <t>(35, 16)</t>
  </si>
  <si>
    <t>0-5　松明の洞窟通路 → 金網の橋 → ゲート　（幅44m × 奥行10m）</t>
  </si>
  <si>
    <t>動画 13:40 ▶</t>
  </si>
  <si>
    <t>松明</t>
  </si>
  <si>
    <t>下は奈落</t>
  </si>
  <si>
    <t>金網の橋</t>
  </si>
  <si>
    <t>手すり</t>
  </si>
  <si>
    <t>ゲート（施設の入口）</t>
  </si>
  <si>
    <t>18 × 10</t>
  </si>
  <si>
    <t>(20, 0)</t>
  </si>
  <si>
    <t>18 × 2</t>
  </si>
  <si>
    <t>(20, 4)</t>
  </si>
  <si>
    <t>18 × 1</t>
  </si>
  <si>
    <t>(20, 3)</t>
  </si>
  <si>
    <t>(20, 6)</t>
  </si>
  <si>
    <t>6 × 6</t>
  </si>
  <si>
    <t>(1, 5)</t>
  </si>
  <si>
    <t>0-6　施設の外まわり（多角柱とピンクの灯）　（幅28m × 奥行22m）</t>
  </si>
  <si>
    <t>動画 14:10 ▶</t>
  </si>
  <si>
    <t>上の通路から飛び降りて空中暗殺。床は模様入り。</t>
  </si>
  <si>
    <t>上の通路（飛び降り）</t>
  </si>
  <si>
    <t>多角柱</t>
  </si>
  <si>
    <t>灯</t>
  </si>
  <si>
    <t>扉→</t>
  </si>
  <si>
    <t>(12, 0)</t>
  </si>
  <si>
    <t>(3, 5)</t>
  </si>
  <si>
    <t>(21, 5)</t>
  </si>
  <si>
    <t>(3, 14)</t>
  </si>
  <si>
    <t>(21, 14)</t>
  </si>
  <si>
    <t>(8, 1)</t>
  </si>
  <si>
    <t>(19, 1)</t>
  </si>
  <si>
    <t>(8, 20)</t>
  </si>
  <si>
    <t>(19, 20)</t>
  </si>
  <si>
    <t>(14, 8)</t>
  </si>
  <si>
    <t>(12, 12)</t>
  </si>
  <si>
    <t>(12, 21)</t>
  </si>
  <si>
    <t>0-7　赤いホール（戦闘）　（幅26m × 奥行18m）</t>
  </si>
  <si>
    <t>動画 14:25 ▶</t>
  </si>
  <si>
    <t>白い箱(赤帯)</t>
  </si>
  <si>
    <t>白い箱</t>
  </si>
  <si>
    <t>大扉</t>
  </si>
  <si>
    <t>4 × 3</t>
  </si>
  <si>
    <t>(20, 2)</t>
  </si>
  <si>
    <t>(2, 12)</t>
  </si>
  <si>
    <t>(18, 1)</t>
  </si>
  <si>
    <t>(12, 8)</t>
  </si>
  <si>
    <t>(14, 10)</t>
  </si>
  <si>
    <t>(10, 11)</t>
  </si>
  <si>
    <t>(11, 17)</t>
  </si>
  <si>
    <t>0-8　赤い通路 → リフト　（幅10m × 奥行28m）</t>
  </si>
  <si>
    <t>動画 14:48 ▶</t>
  </si>
  <si>
    <t>6 × 1</t>
  </si>
  <si>
    <t>(2, 0)</t>
  </si>
  <si>
    <t>(3, 20)</t>
  </si>
  <si>
    <t>(4, 26)</t>
  </si>
  <si>
    <t>0-9　白い吸音パネルの通路 → セオリの独房　（幅30m × 奥行22m）</t>
  </si>
  <si>
    <t>動画 15:00 ▶</t>
  </si>
  <si>
    <t>壁一面が白いパネル。通路の両側に水路。</t>
  </si>
  <si>
    <t>白パネルの壁</t>
  </si>
  <si>
    <t>水路</t>
  </si>
  <si>
    <t>本の山</t>
  </si>
  <si>
    <t>ソファ</t>
  </si>
  <si>
    <t>20 × 1</t>
  </si>
  <si>
    <t>(0, 7)</t>
  </si>
  <si>
    <t>(0, 14)</t>
  </si>
  <si>
    <t>(0, 8)</t>
  </si>
  <si>
    <t>(22, 4)</t>
  </si>
  <si>
    <t>(25, 4)</t>
  </si>
  <si>
    <t>(22, 16)</t>
  </si>
  <si>
    <t>(26, 15)</t>
  </si>
  <si>
    <t>(25, 10)</t>
  </si>
  <si>
    <t>(0, 10)</t>
  </si>
  <si>
    <t>0-10　脱出：暗い赤の広間（カガチ）　（幅28m × 奥行18m）</t>
  </si>
  <si>
    <t>動画 21:30 ▶</t>
  </si>
  <si>
    <t>ムービーのみ。カガチが立ちはだかる→閃光弾で逃げる。</t>
  </si>
  <si>
    <t>八雲</t>
  </si>
  <si>
    <t>(4, 3)</t>
  </si>
  <si>
    <t>(22, 3)</t>
  </si>
  <si>
    <t>(4, 13)</t>
  </si>
  <si>
    <t>(22, 13)</t>
  </si>
  <si>
    <t>(14, 5)</t>
  </si>
  <si>
    <t>(14, 12)</t>
  </si>
  <si>
    <t>(15, 12)</t>
  </si>
  <si>
    <t>(13, 0)</t>
  </si>
  <si>
    <t>CHAPTER 1　間取り図（区画ごと）</t>
  </si>
  <si>
    <t>1-01　スタート：路地 → 壁蹴りの縦穴　（幅12m × 奥行34m）</t>
  </si>
  <si>
    <t>動画 22:52 ▶</t>
  </si>
  <si>
    <t>雨。足元は格子の床とホース。</t>
  </si>
  <si>
    <t>建物の壁</t>
  </si>
  <si>
    <t>宝</t>
  </si>
  <si>
    <t>木のパレット</t>
  </si>
  <si>
    <t>ホース</t>
  </si>
  <si>
    <t>格子の床板</t>
  </si>
  <si>
    <t>壁の灯</t>
  </si>
  <si>
    <t>ゲート</t>
  </si>
  <si>
    <t>(5, 32)</t>
  </si>
  <si>
    <t>(4, 30)</t>
  </si>
  <si>
    <t>(8, 24)</t>
  </si>
  <si>
    <t>(4, 14)</t>
  </si>
  <si>
    <t>(3, 8)</t>
  </si>
  <si>
    <t>(8, 9)</t>
  </si>
  <si>
    <t>4 × 6</t>
  </si>
  <si>
    <t>(4, 0)</t>
  </si>
  <si>
    <t>1-02　上の足場 → DarkNest社①　（幅16m × 奥行16m）</t>
  </si>
  <si>
    <t>動画 25:00 ▶</t>
  </si>
  <si>
    <t>ブルーシート</t>
  </si>
  <si>
    <t>監視カメラの柱</t>
  </si>
  <si>
    <t>空のダンボール</t>
  </si>
  <si>
    <t>壁蹴り↑</t>
  </si>
  <si>
    <t>(0, 0)</t>
  </si>
  <si>
    <t>(6, 1)</t>
  </si>
  <si>
    <t>(2, 3)</t>
  </si>
  <si>
    <t>(11, 5)</t>
  </si>
  <si>
    <t>(5, 15)</t>
  </si>
  <si>
    <t>1-03　ピラミッド前のヘリポート広場　（幅56m × 奥行44m）</t>
  </si>
  <si>
    <t>動画 26:30 ▶</t>
  </si>
  <si>
    <t>敵が何回かに分かれて出る。奥にガラスのピラミッド。</t>
  </si>
  <si>
    <t>ガラスのピラミッド（三角の格子）</t>
  </si>
  <si>
    <t>ドア</t>
  </si>
  <si>
    <t>ヘリポート H</t>
  </si>
  <si>
    <t>白い床板</t>
  </si>
  <si>
    <t>ケーブル</t>
  </si>
  <si>
    <t>白いDDOコンテナ</t>
  </si>
  <si>
    <t>標識</t>
  </si>
  <si>
    <t>幅広い階段↑</t>
  </si>
  <si>
    <t>灰色の壁</t>
  </si>
  <si>
    <t>街灯</t>
  </si>
  <si>
    <t>銃</t>
  </si>
  <si>
    <t>20 × 14</t>
  </si>
  <si>
    <t>(18, 0)</t>
  </si>
  <si>
    <t>(27, 14)</t>
  </si>
  <si>
    <t>12 × 12</t>
  </si>
  <si>
    <t>(10, 20)</t>
  </si>
  <si>
    <t>16 × 2</t>
  </si>
  <si>
    <t>(8, 34)</t>
  </si>
  <si>
    <t>(26, 36)</t>
  </si>
  <si>
    <t>10 × 1</t>
  </si>
  <si>
    <t>(14, 38)</t>
  </si>
  <si>
    <t>8 × 5</t>
  </si>
  <si>
    <t>(40, 20)</t>
  </si>
  <si>
    <t>(40, 27)</t>
  </si>
  <si>
    <t>6 × 8</t>
  </si>
  <si>
    <t>(2, 6)</t>
  </si>
  <si>
    <t>(26, 30)</t>
  </si>
  <si>
    <t>(30, 17)</t>
  </si>
  <si>
    <t>(34, 14)</t>
  </si>
  <si>
    <t>6 × 12</t>
  </si>
  <si>
    <t>(50, 28)</t>
  </si>
  <si>
    <t>(8, 40)</t>
  </si>
  <si>
    <t>(48, 10)</t>
  </si>
  <si>
    <t>(36, 40)</t>
  </si>
  <si>
    <t>(14, 24)</t>
  </si>
  <si>
    <t>(20, 28)</t>
  </si>
  <si>
    <t>(30, 22)</t>
  </si>
  <si>
    <t>(34, 26)</t>
  </si>
  <si>
    <t>(44, 34)</t>
  </si>
  <si>
    <t>(0, 38)</t>
  </si>
  <si>
    <t>1-04　ピラミッドの中：パイロン①　（幅22m × 奥行20m）</t>
  </si>
  <si>
    <t>動画 29:05 ▶</t>
  </si>
  <si>
    <t>パイロン①</t>
  </si>
  <si>
    <t>入口</t>
  </si>
  <si>
    <t>22 × 1</t>
  </si>
  <si>
    <t>(9, 8)</t>
  </si>
  <si>
    <t>(3, 3)</t>
  </si>
  <si>
    <t>(17, 3)</t>
  </si>
  <si>
    <t>(3, 16)</t>
  </si>
  <si>
    <t>(17, 16)</t>
  </si>
  <si>
    <t>(10, 2)</t>
  </si>
  <si>
    <t>(10, 19)</t>
  </si>
  <si>
    <t>1-05　ぬれた通り → 木の壁の通路 → 鉄格子の大門　（幅14m × 奥行44m）</t>
  </si>
  <si>
    <t>動画 29:32 ▶</t>
  </si>
  <si>
    <t>右の手すりの外は下の通り（落ちられない）。</t>
  </si>
  <si>
    <t>飾りの大扉(閉)</t>
  </si>
  <si>
    <t>看板モニター</t>
  </si>
  <si>
    <t>木の壁の通路</t>
  </si>
  <si>
    <t>木の壁</t>
  </si>
  <si>
    <t>鉄格子の大門</t>
  </si>
  <si>
    <t>2つめの門</t>
  </si>
  <si>
    <t>1 × 4</t>
  </si>
  <si>
    <t>(0, 34)</t>
  </si>
  <si>
    <t>1 × 18</t>
  </si>
  <si>
    <t>(13, 24)</t>
  </si>
  <si>
    <t>(12, 30)</t>
  </si>
  <si>
    <t>(4, 40)</t>
  </si>
  <si>
    <t>10 × 12</t>
  </si>
  <si>
    <t>(6, 16)</t>
  </si>
  <si>
    <t>(2, 8)</t>
  </si>
  <si>
    <t>(6, 43)</t>
  </si>
  <si>
    <t>1-06　落書きの路地：タイラン　（幅18m × 奥行20m）</t>
  </si>
  <si>
    <t>動画 30:25 ▶</t>
  </si>
  <si>
    <t>カラスを調べるとタイランが出る。</t>
  </si>
  <si>
    <t>落書き</t>
  </si>
  <si>
    <t>落書き</t>
    <phoneticPr fontId="2"/>
  </si>
  <si>
    <t>金網の箱</t>
  </si>
  <si>
    <t>カラス</t>
  </si>
  <si>
    <t>ゴミ袋</t>
  </si>
  <si>
    <t>1 × 20</t>
  </si>
  <si>
    <t>(1, 4)</t>
  </si>
  <si>
    <t>(1, 8)</t>
  </si>
  <si>
    <t>(8, 6)</t>
  </si>
  <si>
    <t>(10, 6)</t>
  </si>
  <si>
    <t>(3, 15)</t>
  </si>
  <si>
    <t>(7, 15)</t>
  </si>
  <si>
    <t>(12, 2)</t>
  </si>
  <si>
    <t>(15, 16)</t>
  </si>
  <si>
    <t>(8, 19)</t>
  </si>
  <si>
    <t>1-07　妖魔の部屋（暗転・紫の炎）　（幅18m × 奥行16m）</t>
  </si>
  <si>
    <t>動画 40:40 ▶</t>
  </si>
  <si>
    <t>壊れた赤い傘</t>
  </si>
  <si>
    <t>大きな鉄の扉</t>
  </si>
  <si>
    <t>垂れた線</t>
  </si>
  <si>
    <t>(12, 11)</t>
  </si>
  <si>
    <t>(2, 4)</t>
  </si>
  <si>
    <t>(14, 4)</t>
  </si>
  <si>
    <t>5 × 1</t>
  </si>
  <si>
    <t>(7, 0)</t>
  </si>
  <si>
    <t>(15, 13)</t>
  </si>
  <si>
    <t>(9, 14)</t>
  </si>
  <si>
    <t>1-08　吹き抜け：巨大な頭部像　（幅24m × 奥行22m）</t>
  </si>
  <si>
    <t>動画 41:10 ▶</t>
  </si>
  <si>
    <t>八雲が像を見上げる場所。像のまわりは下が見える吹き抜け。</t>
  </si>
  <si>
    <t>吹き抜け（下が見える）</t>
  </si>
  <si>
    <t>巨大な機械の頭部像</t>
  </si>
  <si>
    <t>ネオン看板</t>
  </si>
  <si>
    <t>24の看板</t>
  </si>
  <si>
    <t>電柱</t>
  </si>
  <si>
    <t>24 × 15</t>
  </si>
  <si>
    <t>8 × 8</t>
  </si>
  <si>
    <t>(8, 3)</t>
  </si>
  <si>
    <t>(4, 12)</t>
  </si>
  <si>
    <t>(19, 12)</t>
  </si>
  <si>
    <t>24 × 1</t>
  </si>
  <si>
    <t>(0, 15)</t>
  </si>
  <si>
    <t>(12, 18)</t>
  </si>
  <si>
    <t>(1, 20)</t>
  </si>
  <si>
    <t>1-09　水槽の上の通路 → 大型ファン　（幅34m × 奥行16m）</t>
  </si>
  <si>
    <t>動画 41:35 ▶</t>
  </si>
  <si>
    <t>太い配管（頭上）</t>
  </si>
  <si>
    <t>大型ファンの丸い穴</t>
  </si>
  <si>
    <t>格子の通路</t>
  </si>
  <si>
    <t>水槽(下)</t>
  </si>
  <si>
    <t>飛び降り↓</t>
  </si>
  <si>
    <t>12 × 1</t>
  </si>
  <si>
    <t>8 × 6</t>
  </si>
  <si>
    <t>(26, 0)</t>
  </si>
  <si>
    <t>26 × 1</t>
  </si>
  <si>
    <t>(0, 5)</t>
  </si>
  <si>
    <t>34 × 3</t>
  </si>
  <si>
    <t>(0, 6)</t>
  </si>
  <si>
    <t>(0, 9)</t>
  </si>
  <si>
    <t>(2, 10)</t>
  </si>
  <si>
    <t>(10, 10)</t>
  </si>
  <si>
    <t>(28, 9)</t>
  </si>
  <si>
    <t>(8, 7)</t>
  </si>
  <si>
    <t>1-10　ホログラム看板の通り（連戦）　（幅16m × 奥行44m）</t>
  </si>
  <si>
    <t>動画 43:00 ▶</t>
  </si>
  <si>
    <t>右の壁全体が黄色いネオンの巨大看板。</t>
  </si>
  <si>
    <t>黄色ネオンの巨大看板</t>
  </si>
  <si>
    <t>1 × 30</t>
  </si>
  <si>
    <t>(15, 4)</t>
  </si>
  <si>
    <t>4 × 20</t>
  </si>
  <si>
    <t>1 × 16</t>
  </si>
  <si>
    <t>(0, 22)</t>
  </si>
  <si>
    <t>(4, 8)</t>
  </si>
  <si>
    <t>(3, 24)</t>
  </si>
  <si>
    <t>(8, 30)</t>
  </si>
  <si>
    <t>(9, 20)</t>
  </si>
  <si>
    <t>(5, 28)</t>
  </si>
  <si>
    <t>(8, 43)</t>
  </si>
  <si>
    <t>1-11　モニターとケーブルの部屋（配給担当官）　（幅20m × 奥行16m）</t>
  </si>
  <si>
    <t>動画 44:10 ▶</t>
  </si>
  <si>
    <t>黄色ネオンの枠</t>
  </si>
  <si>
    <t>壁のモニター</t>
  </si>
  <si>
    <t>床のケーブル</t>
  </si>
  <si>
    <t>階段↑</t>
  </si>
  <si>
    <t>担当官</t>
  </si>
  <si>
    <t>(6, 4)</t>
  </si>
  <si>
    <t>(4, 10)</t>
  </si>
  <si>
    <t>(9, 7)</t>
  </si>
  <si>
    <t>4 × 8</t>
  </si>
  <si>
    <t>(16, 6)</t>
  </si>
  <si>
    <t>(6, 7)</t>
  </si>
  <si>
    <t>(12, 5)</t>
  </si>
  <si>
    <t>(13, 12)</t>
  </si>
  <si>
    <t>1-12　灰色の倉庫　（幅20m × 奥行14m）</t>
  </si>
  <si>
    <t>動画 47:10 ▶</t>
  </si>
  <si>
    <t>巻いたケーブル</t>
  </si>
  <si>
    <t>鉄の階段↑</t>
  </si>
  <si>
    <t>(14, 2)</t>
  </si>
  <si>
    <t>(7, 1)</t>
  </si>
  <si>
    <t>(1, 6)</t>
  </si>
  <si>
    <t>1-13　太い配管の上を渡る　（幅34m × 奥行10m）</t>
  </si>
  <si>
    <t>動画 47:25 ▶</t>
  </si>
  <si>
    <t>両側は落下。</t>
  </si>
  <si>
    <t>落下</t>
  </si>
  <si>
    <t>黄色い格子板</t>
  </si>
  <si>
    <t>太い配管（上を歩く）</t>
  </si>
  <si>
    <t>24 × 10</t>
  </si>
  <si>
    <t>(6, 0)</t>
  </si>
  <si>
    <t>(1, 2)</t>
  </si>
  <si>
    <t>(0, 1)</t>
  </si>
  <si>
    <t>24 × 2</t>
  </si>
  <si>
    <t>1-14　DarkNest社②：カディスワイヤー入手　（幅12m × 奥行10m）</t>
  </si>
  <si>
    <t>動画 48:50 ▶</t>
  </si>
  <si>
    <t>柵</t>
  </si>
  <si>
    <t>DarkNest社②</t>
  </si>
  <si>
    <t>ゴミ箱</t>
  </si>
  <si>
    <t>(5, 1)</t>
  </si>
  <si>
    <t>(5, 9)</t>
  </si>
  <si>
    <t>1-15　大きな溝：ワイヤーで渡る　（幅36m × 奥行14m）</t>
  </si>
  <si>
    <t>動画 50:00 ▶</t>
  </si>
  <si>
    <t>左の岸から右の岸へ、空中のワイヤー点を2回使う。</t>
  </si>
  <si>
    <t>大きな溝（落下）</t>
  </si>
  <si>
    <t>左へ→煉獄の門</t>
  </si>
  <si>
    <t>18 × 14</t>
  </si>
  <si>
    <t>(8, 0)</t>
  </si>
  <si>
    <t>(12, 6)</t>
  </si>
  <si>
    <t>(27, 1)</t>
  </si>
  <si>
    <t>(30, 0)</t>
  </si>
  <si>
    <t>(30, 8)</t>
  </si>
  <si>
    <t>1-16　金網の通路　（幅6m × 奥行22m）</t>
  </si>
  <si>
    <t>動画 50:40 ▶</t>
  </si>
  <si>
    <t>金網</t>
  </si>
  <si>
    <t>1 × 22</t>
  </si>
  <si>
    <t>(5, 0)</t>
  </si>
  <si>
    <t>(2, 21)</t>
  </si>
  <si>
    <t>1-17　寄り道：煉獄の門（木の床の倉庫）　（幅28m × 奥行24m）</t>
  </si>
  <si>
    <t>動画 51:50 ▶</t>
  </si>
  <si>
    <t>青い炎の門をくぐると強敵ラッシュ。</t>
  </si>
  <si>
    <t>木の柱</t>
  </si>
  <si>
    <t>木箱</t>
  </si>
  <si>
    <t>強敵</t>
  </si>
  <si>
    <t>(12, 22)</t>
  </si>
  <si>
    <t>(5, 5)</t>
  </si>
  <si>
    <t>(13, 5)</t>
  </si>
  <si>
    <t>(5, 14)</t>
  </si>
  <si>
    <t>(13, 14)</t>
  </si>
  <si>
    <t>(8, 10)</t>
  </si>
  <si>
    <t>5 × 2</t>
  </si>
  <si>
    <t>(16, 16)</t>
  </si>
  <si>
    <t>(25, 0)</t>
  </si>
  <si>
    <t>(1, 18)</t>
  </si>
  <si>
    <t>(12, 9)</t>
  </si>
  <si>
    <t>1-18　霧の通り → ゴーディ（行き止まり）　（幅10m × 奥行28m）</t>
  </si>
  <si>
    <t>動画 55:30 ▶</t>
  </si>
  <si>
    <t>金網（行き止まり）</t>
  </si>
  <si>
    <t>(5, 2)</t>
  </si>
  <si>
    <t>(1, 12)</t>
  </si>
  <si>
    <t>(8, 8)</t>
  </si>
  <si>
    <t>(8, 16)</t>
  </si>
  <si>
    <t>(6, 22)</t>
  </si>
  <si>
    <t>(5, 27)</t>
  </si>
  <si>
    <t>1-19　黄緑の床の工業区画（兵＋ドローン）　（幅30m × 奥行24m）</t>
  </si>
  <si>
    <t>動画 57:00 ▶</t>
  </si>
  <si>
    <t>奥に電柱と電線、光るタワーが見える。</t>
  </si>
  <si>
    <t>電柱</t>
    <phoneticPr fontId="2"/>
  </si>
  <si>
    <t>格子の床</t>
  </si>
  <si>
    <t>水色に光る壁</t>
  </si>
  <si>
    <t>↑細い道</t>
  </si>
  <si>
    <t>箱×3</t>
  </si>
  <si>
    <t>25 × 1</t>
  </si>
  <si>
    <t>(14, 0)</t>
  </si>
  <si>
    <t>18 × 6</t>
  </si>
  <si>
    <t>(4, 4)</t>
  </si>
  <si>
    <t>(8, 18)</t>
  </si>
  <si>
    <t>(18, 22)</t>
  </si>
  <si>
    <t>1 × 12</t>
  </si>
  <si>
    <t>(28, 8)</t>
  </si>
  <si>
    <t>(22, 1)</t>
  </si>
  <si>
    <t>3 × 6</t>
  </si>
  <si>
    <t>(26, 1)</t>
  </si>
  <si>
    <t>(4, 20)</t>
  </si>
  <si>
    <t>(3, 21)</t>
  </si>
  <si>
    <t>1-20　手すりの通路：タイラン②　（幅6m × 奥行16m）</t>
  </si>
  <si>
    <t>動画 61:30 ▶</t>
  </si>
  <si>
    <t>1-21　配電盤の路地 → DarkNest社③　（幅10m × 奥行22m）</t>
  </si>
  <si>
    <t>動画 62:00 ▶</t>
  </si>
  <si>
    <t>DarkNest社③</t>
  </si>
  <si>
    <t>1 × 5</t>
  </si>
  <si>
    <t>(9, 4)</t>
  </si>
  <si>
    <t>6 × 2</t>
  </si>
  <si>
    <t>(2, 18)</t>
  </si>
  <si>
    <t>(4, 21)</t>
  </si>
  <si>
    <t>1-22　黄黒の縞の区画（ワイヤーで上へ）　（幅24m × 奥行18m）</t>
  </si>
  <si>
    <t>動画 63:00 ▶</t>
  </si>
  <si>
    <t>緑のシートのコンテナ</t>
  </si>
  <si>
    <t>黄黒の縞の壁</t>
  </si>
  <si>
    <t>ワイヤー点↑</t>
  </si>
  <si>
    <t>10 × 2</t>
  </si>
  <si>
    <t>8 × 2</t>
  </si>
  <si>
    <t>4 × 10</t>
  </si>
  <si>
    <t>(14, 3)</t>
  </si>
  <si>
    <t>(8, 12)</t>
  </si>
  <si>
    <t>(12, 14)</t>
  </si>
  <si>
    <t>(1, 16)</t>
  </si>
  <si>
    <t>1-23　閉じた部屋：バーサーク　（幅24m × 奥行18m）</t>
  </si>
  <si>
    <t>動画 65:20 ▶</t>
  </si>
  <si>
    <t>入るとロック。全滅させると扉が開く。</t>
  </si>
  <si>
    <t>背の高いシャッター壁</t>
  </si>
  <si>
    <t>看板</t>
  </si>
  <si>
    <t>ロック</t>
  </si>
  <si>
    <t>(23, 7)</t>
  </si>
  <si>
    <t>(14, 7)</t>
  </si>
  <si>
    <t>1-24　鉄格子の通路　（幅8m × 奥行20m）</t>
  </si>
  <si>
    <t>動画 66:30 ▶</t>
  </si>
  <si>
    <t>鉄格子</t>
  </si>
  <si>
    <t>(4, 19)</t>
  </si>
  <si>
    <t>1-25　黄色い模様の壁の通路　（幅10m × 奥行24m）</t>
  </si>
  <si>
    <t>動画 69:00 ▶</t>
  </si>
  <si>
    <t>床灯</t>
  </si>
  <si>
    <t>水色灯</t>
  </si>
  <si>
    <t>1 × 24</t>
  </si>
  <si>
    <t>(9, 0)</t>
  </si>
  <si>
    <t>(5, 10)</t>
  </si>
  <si>
    <t>(4, 23)</t>
  </si>
  <si>
    <t>1-26　階段とシャッター　（幅12m × 奥行16m）</t>
  </si>
  <si>
    <t>動画 72:00 ▶</t>
  </si>
  <si>
    <t>1-27　コンテナの谷（戦闘）　（幅14m × 奥行34m）</t>
  </si>
  <si>
    <t>動画 72:30 ▶</t>
  </si>
  <si>
    <t>高く積まれたコンテナの間の細い道。</t>
  </si>
  <si>
    <t>4 × 12</t>
  </si>
  <si>
    <t>4 × 14</t>
  </si>
  <si>
    <t>(6, 20)</t>
  </si>
  <si>
    <t>(7, 26)</t>
  </si>
  <si>
    <t>(6, 33)</t>
  </si>
  <si>
    <t>1-28　DarkNest社④ と宝箱（ボス前）　（幅16m × 奥行12m）</t>
  </si>
  <si>
    <t>動画 74:30 ▶</t>
  </si>
  <si>
    <t>床は菱形のタイル。</t>
  </si>
  <si>
    <t>青い菱形の壁</t>
  </si>
  <si>
    <t>白いDDOの箱</t>
  </si>
  <si>
    <t>DarkNest社④</t>
  </si>
  <si>
    <t>(8, 11)</t>
  </si>
  <si>
    <t>1-29　BOSS：DDOコマンダーの広場　（幅44m × 奥行40m）</t>
  </si>
  <si>
    <t>動画 75:40 ▶</t>
  </si>
  <si>
    <t>戦うと左右の赤い矢印の壁で閉じ込められる。勝つと奥のピラミッドへ。</t>
  </si>
  <si>
    <t>ピラミッド（パイロン②）</t>
  </si>
  <si>
    <t>大階段</t>
  </si>
  <si>
    <t>青く光る模様の床（戦う場所）</t>
  </si>
  <si>
    <t>ネオン柱</t>
  </si>
  <si>
    <t>黒い灯籠</t>
  </si>
  <si>
    <t>床の文字「DRAGON」</t>
  </si>
  <si>
    <t>赤い矢印の壁</t>
  </si>
  <si>
    <t>青い光の柱</t>
  </si>
  <si>
    <t>16 × 8</t>
  </si>
  <si>
    <t>(18, 8)</t>
  </si>
  <si>
    <t>20 × 16</t>
  </si>
  <si>
    <t>(12, 16)</t>
  </si>
  <si>
    <t>(36, 4)</t>
  </si>
  <si>
    <t>(6, 30)</t>
  </si>
  <si>
    <t>(36, 30)</t>
  </si>
  <si>
    <t>(10, 12)</t>
  </si>
  <si>
    <t>(33, 12)</t>
  </si>
  <si>
    <t>(43, 22)</t>
  </si>
  <si>
    <t>(24, 38)</t>
  </si>
  <si>
    <t>(40, 36)</t>
  </si>
  <si>
    <t>(22, 22)</t>
  </si>
  <si>
    <t>(20, 39)</t>
  </si>
  <si>
    <t>間取り図について</t>
    <phoneticPr fontId="2"/>
  </si>
  <si>
    <t>「Ch0 間取り図」「Ch1 間取り図」はプレイ動画を見て、区画ごとに上から見た間取りを1マス＝1mで描いたもの。壁・床・コンテナ・電柱・照明・柵など置いてある物をすべて四角で示し、右に一覧表を付けた。大きさは目測。区画名の右の「動画 ▶」でその場面が開く。</t>
    <phoneticPr fontId="2"/>
  </si>
  <si>
    <t>▶ プレイヤーの移動ルート（赤い矢印）の表示：右の黄色いセルで ON / OFF を選ぶ →</t>
  </si>
  <si>
    <t>ON</t>
  </si>
  <si>
    <t>プレイヤーのだいたいの移動ルート（ON/OFFで表示切り替え）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</si>
</sst>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8"/>
      <color rgb="FFFFFFFF"/>
      <name val="Meiryo UI"/>
      <family val="3"/>
      <charset val="128"/>
    </font>
    <font>
      <sz val="9"/>
      <color rgb="FF9CC9FF"/>
      <name val="Meiryo UI"/>
      <family val="3"/>
      <charset val="128"/>
    </font>
    <font>
      <b/>
      <sz val="9"/>
      <color rgb="FF1B1B1B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9"/>
      <color rgb="FF0B2545"/>
      <name val="Meiryo UI"/>
      <family val="3"/>
      <charset val="128"/>
    </font>
    <font>
      <sz val="8"/>
      <color rgb="FF9CC9FF"/>
      <name val="Meiryo UI"/>
      <family val="3"/>
      <charset val="128"/>
    </font>
    <font>
      <b/>
      <sz val="10"/>
      <color rgb="FF9CC9FF"/>
      <name val="Meiryo UI"/>
      <family val="3"/>
      <charset val="128"/>
    </font>
    <font>
      <b/>
      <sz val="10"/>
      <color rgb="FF1B1B1B"/>
      <name val="Meiryo UI"/>
      <family val="3"/>
      <charset val="128"/>
    </font>
    <font>
      <sz val="8"/>
      <color rgb="FF1B1B1B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0"/>
      <color rgb="FF0B2545"/>
      <name val="Meiryo UI"/>
      <family val="3"/>
      <charset val="128"/>
    </font>
    <font>
      <b/>
      <sz val="13"/>
      <color theme="1"/>
      <name val="游ゴシック"/>
      <family val="3"/>
      <charset val="128"/>
      <scheme val="minor"/>
    </font>
    <font>
      <b/>
      <sz val="11"/>
      <color rgb="FFFFFFFF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3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6"/>
      <color rgb="FFFFFFFF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7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7"/>
      <color rgb="FFFFFFFF"/>
      <name val="Meiryo UI"/>
      <family val="3"/>
      <charset val="128"/>
    </font>
    <font>
      <u/>
      <sz val="9"/>
      <color rgb="FFFFE699"/>
      <name val="游ゴシック"/>
      <family val="2"/>
      <charset val="128"/>
      <scheme val="minor"/>
    </font>
    <font>
      <sz val="8"/>
      <color rgb="FF7F6000"/>
      <name val="Meiryo UI"/>
      <family val="3"/>
      <charset val="128"/>
    </font>
    <font>
      <sz val="7"/>
      <color rgb="FF808080"/>
      <name val="Meiryo UI"/>
      <family val="3"/>
      <charset val="128"/>
    </font>
    <font>
      <b/>
      <sz val="7"/>
      <color rgb="FFFFFFFF"/>
      <name val="Meiryo UI"/>
      <family val="3"/>
      <charset val="128"/>
    </font>
    <font>
      <b/>
      <sz val="7"/>
      <color rgb="FF000000"/>
      <name val="Meiryo UI"/>
      <family val="3"/>
      <charset val="128"/>
    </font>
    <font>
      <b/>
      <sz val="7"/>
      <color rgb="FF595959"/>
      <name val="Meiryo UI"/>
      <family val="3"/>
      <charset val="128"/>
    </font>
    <font>
      <b/>
      <sz val="7"/>
      <color rgb="FFC00000"/>
      <name val="Meiryo UI"/>
      <family val="3"/>
      <charset val="128"/>
    </font>
    <font>
      <b/>
      <sz val="8"/>
      <color rgb="FFC00000"/>
      <name val="Meiryo UI"/>
      <family val="3"/>
      <charset val="128"/>
    </font>
    <font>
      <b/>
      <sz val="8"/>
      <color rgb="FFFFFFFF"/>
      <name val="Meiryo UI"/>
      <family val="3"/>
      <charset val="128"/>
    </font>
    <font>
      <b/>
      <sz val="7"/>
      <color rgb="FF404040"/>
      <name val="Meiryo UI"/>
      <family val="3"/>
      <charset val="128"/>
    </font>
    <font>
      <b/>
      <sz val="7"/>
      <color rgb="FF7F6000"/>
      <name val="Meiryo UI"/>
      <family val="3"/>
      <charset val="128"/>
    </font>
    <font>
      <b/>
      <sz val="7"/>
      <color rgb="FF1F4E79"/>
      <name val="Meiryo UI"/>
      <family val="3"/>
      <charset val="128"/>
    </font>
    <font>
      <b/>
      <sz val="7"/>
      <color rgb="FFFFFF00"/>
      <name val="Meiryo UI"/>
      <family val="3"/>
      <charset val="128"/>
    </font>
    <font>
      <b/>
      <sz val="7"/>
      <color rgb="FF2F5597"/>
      <name val="Meiryo UI"/>
      <family val="3"/>
      <charset val="128"/>
    </font>
    <font>
      <b/>
      <sz val="7"/>
      <color rgb="FF7F7F7F"/>
      <name val="Meiryo UI"/>
      <family val="3"/>
      <charset val="128"/>
    </font>
    <font>
      <b/>
      <sz val="10"/>
      <color rgb="FFC0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9"/>
      <color rgb="FFE00000"/>
      <name val="Meiryo UI"/>
      <family val="3"/>
      <charset val="128"/>
    </font>
  </fonts>
  <fills count="90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F4A261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7B0D1E"/>
        <bgColor indexed="64"/>
      </patternFill>
    </fill>
    <fill>
      <patternFill patternType="solid">
        <fgColor rgb="FF4EA8DE"/>
        <bgColor indexed="64"/>
      </patternFill>
    </fill>
    <fill>
      <patternFill patternType="solid">
        <fgColor rgb="FF7E6B9C"/>
        <bgColor indexed="64"/>
      </patternFill>
    </fill>
    <fill>
      <patternFill patternType="solid">
        <fgColor rgb="FFFFD166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90BE6D"/>
        <bgColor indexed="64"/>
      </patternFill>
    </fill>
    <fill>
      <patternFill patternType="solid">
        <fgColor rgb="FF13315C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8F3DF"/>
        <bgColor indexed="64"/>
      </patternFill>
    </fill>
    <fill>
      <patternFill patternType="solid">
        <fgColor rgb="FFFBE3E6"/>
        <bgColor indexed="64"/>
      </patternFill>
    </fill>
    <fill>
      <patternFill patternType="solid">
        <fgColor rgb="FFE3ECF7"/>
        <bgColor indexed="64"/>
      </patternFill>
    </fill>
    <fill>
      <patternFill patternType="solid">
        <fgColor rgb="FFB4BCC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C5D3E0"/>
        <bgColor indexed="64"/>
      </patternFill>
    </fill>
    <fill>
      <patternFill patternType="solid">
        <fgColor rgb="FFD6CBB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2C59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7F7366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C9A4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8D8D8D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9B27C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9E7F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3B2F1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B04FE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1F3864"/>
        <bgColor indexed="64"/>
      </patternFill>
    </fill>
  </fills>
  <borders count="174">
    <border>
      <left/>
      <right/>
      <top/>
      <bottom/>
      <diagonal/>
    </border>
    <border>
      <left/>
      <right style="medium">
        <color rgb="FF9CC9FF"/>
      </right>
      <top/>
      <bottom/>
      <diagonal/>
    </border>
    <border>
      <left style="medium">
        <color rgb="FFF4A261"/>
      </left>
      <right/>
      <top/>
      <bottom/>
      <diagonal/>
    </border>
    <border>
      <left style="medium">
        <color rgb="FFF4A261"/>
      </left>
      <right/>
      <top style="medium">
        <color rgb="FFF4A261"/>
      </top>
      <bottom/>
      <diagonal/>
    </border>
    <border>
      <left/>
      <right/>
      <top style="medium">
        <color rgb="FFF4A261"/>
      </top>
      <bottom/>
      <diagonal/>
    </border>
    <border>
      <left style="medium">
        <color rgb="FFF4A261"/>
      </left>
      <right/>
      <top/>
      <bottom style="medium">
        <color rgb="FFF4A261"/>
      </bottom>
      <diagonal/>
    </border>
    <border>
      <left/>
      <right/>
      <top/>
      <bottom style="medium">
        <color rgb="FFF4A261"/>
      </bottom>
      <diagonal/>
    </border>
    <border>
      <left/>
      <right style="medium">
        <color rgb="FFF4A261"/>
      </right>
      <top style="medium">
        <color rgb="FFF4A261"/>
      </top>
      <bottom/>
      <diagonal/>
    </border>
    <border>
      <left/>
      <right style="medium">
        <color rgb="FFF4A261"/>
      </right>
      <top/>
      <bottom/>
      <diagonal/>
    </border>
    <border>
      <left/>
      <right style="medium">
        <color rgb="FFF4A261"/>
      </right>
      <top/>
      <bottom style="medium">
        <color rgb="FFF4A261"/>
      </bottom>
      <diagonal/>
    </border>
    <border>
      <left style="medium">
        <color rgb="FF2A9D8F"/>
      </left>
      <right/>
      <top/>
      <bottom/>
      <diagonal/>
    </border>
    <border>
      <left style="medium">
        <color rgb="FF2A9D8F"/>
      </left>
      <right/>
      <top style="medium">
        <color rgb="FF2A9D8F"/>
      </top>
      <bottom/>
      <diagonal/>
    </border>
    <border>
      <left/>
      <right/>
      <top style="medium">
        <color rgb="FF2A9D8F"/>
      </top>
      <bottom/>
      <diagonal/>
    </border>
    <border>
      <left style="medium">
        <color rgb="FF2A9D8F"/>
      </left>
      <right/>
      <top/>
      <bottom style="medium">
        <color rgb="FF2A9D8F"/>
      </bottom>
      <diagonal/>
    </border>
    <border>
      <left/>
      <right/>
      <top/>
      <bottom style="medium">
        <color rgb="FF2A9D8F"/>
      </bottom>
      <diagonal/>
    </border>
    <border>
      <left/>
      <right style="medium">
        <color rgb="FF2A9D8F"/>
      </right>
      <top style="medium">
        <color rgb="FF2A9D8F"/>
      </top>
      <bottom/>
      <diagonal/>
    </border>
    <border>
      <left/>
      <right style="medium">
        <color rgb="FF2A9D8F"/>
      </right>
      <top/>
      <bottom/>
      <diagonal/>
    </border>
    <border>
      <left/>
      <right style="medium">
        <color rgb="FF2A9D8F"/>
      </right>
      <top/>
      <bottom style="medium">
        <color rgb="FF2A9D8F"/>
      </bottom>
      <diagonal/>
    </border>
    <border>
      <left style="medium">
        <color rgb="FF4EA8DE"/>
      </left>
      <right/>
      <top/>
      <bottom/>
      <diagonal/>
    </border>
    <border>
      <left style="medium">
        <color rgb="FF4EA8DE"/>
      </left>
      <right/>
      <top style="medium">
        <color rgb="FF4EA8DE"/>
      </top>
      <bottom/>
      <diagonal/>
    </border>
    <border>
      <left/>
      <right/>
      <top style="medium">
        <color rgb="FF4EA8DE"/>
      </top>
      <bottom/>
      <diagonal/>
    </border>
    <border>
      <left style="medium">
        <color rgb="FF4EA8DE"/>
      </left>
      <right/>
      <top/>
      <bottom style="medium">
        <color rgb="FF4EA8DE"/>
      </bottom>
      <diagonal/>
    </border>
    <border>
      <left/>
      <right/>
      <top/>
      <bottom style="medium">
        <color rgb="FF4EA8DE"/>
      </bottom>
      <diagonal/>
    </border>
    <border>
      <left/>
      <right style="medium">
        <color rgb="FF4EA8DE"/>
      </right>
      <top style="medium">
        <color rgb="FF4EA8DE"/>
      </top>
      <bottom/>
      <diagonal/>
    </border>
    <border>
      <left/>
      <right style="medium">
        <color rgb="FF4EA8DE"/>
      </right>
      <top/>
      <bottom/>
      <diagonal/>
    </border>
    <border>
      <left/>
      <right style="medium">
        <color rgb="FF4EA8DE"/>
      </right>
      <top/>
      <bottom style="medium">
        <color rgb="FF4EA8DE"/>
      </bottom>
      <diagonal/>
    </border>
    <border>
      <left style="medium">
        <color rgb="FF7E6B9C"/>
      </left>
      <right/>
      <top/>
      <bottom/>
      <diagonal/>
    </border>
    <border>
      <left style="medium">
        <color rgb="FF7E6B9C"/>
      </left>
      <right/>
      <top style="medium">
        <color rgb="FF7E6B9C"/>
      </top>
      <bottom/>
      <diagonal/>
    </border>
    <border>
      <left/>
      <right/>
      <top style="medium">
        <color rgb="FF7E6B9C"/>
      </top>
      <bottom/>
      <diagonal/>
    </border>
    <border>
      <left style="medium">
        <color rgb="FF7E6B9C"/>
      </left>
      <right/>
      <top/>
      <bottom style="medium">
        <color rgb="FF7E6B9C"/>
      </bottom>
      <diagonal/>
    </border>
    <border>
      <left/>
      <right/>
      <top/>
      <bottom style="medium">
        <color rgb="FF7E6B9C"/>
      </bottom>
      <diagonal/>
    </border>
    <border>
      <left/>
      <right style="medium">
        <color rgb="FF7E6B9C"/>
      </right>
      <top style="medium">
        <color rgb="FF7E6B9C"/>
      </top>
      <bottom/>
      <diagonal/>
    </border>
    <border>
      <left/>
      <right style="medium">
        <color rgb="FF7E6B9C"/>
      </right>
      <top/>
      <bottom/>
      <diagonal/>
    </border>
    <border>
      <left/>
      <right style="medium">
        <color rgb="FF7E6B9C"/>
      </right>
      <top/>
      <bottom style="medium">
        <color rgb="FF7E6B9C"/>
      </bottom>
      <diagonal/>
    </border>
    <border>
      <left style="medium">
        <color rgb="FF90BE6D"/>
      </left>
      <right/>
      <top/>
      <bottom/>
      <diagonal/>
    </border>
    <border>
      <left style="medium">
        <color rgb="FF90BE6D"/>
      </left>
      <right/>
      <top style="medium">
        <color rgb="FF90BE6D"/>
      </top>
      <bottom/>
      <diagonal/>
    </border>
    <border>
      <left/>
      <right/>
      <top style="medium">
        <color rgb="FF90BE6D"/>
      </top>
      <bottom/>
      <diagonal/>
    </border>
    <border>
      <left style="medium">
        <color rgb="FF90BE6D"/>
      </left>
      <right/>
      <top/>
      <bottom style="medium">
        <color rgb="FF90BE6D"/>
      </bottom>
      <diagonal/>
    </border>
    <border>
      <left/>
      <right/>
      <top/>
      <bottom style="medium">
        <color rgb="FF90BE6D"/>
      </bottom>
      <diagonal/>
    </border>
    <border>
      <left/>
      <right style="medium">
        <color rgb="FF90BE6D"/>
      </right>
      <top style="medium">
        <color rgb="FF90BE6D"/>
      </top>
      <bottom/>
      <diagonal/>
    </border>
    <border>
      <left/>
      <right style="medium">
        <color rgb="FF90BE6D"/>
      </right>
      <top/>
      <bottom/>
      <diagonal/>
    </border>
    <border>
      <left/>
      <right style="medium">
        <color rgb="FF90BE6D"/>
      </right>
      <top/>
      <bottom style="medium">
        <color rgb="FF90BE6D"/>
      </bottom>
      <diagonal/>
    </border>
    <border>
      <left style="medium">
        <color rgb="FFFFD166"/>
      </left>
      <right/>
      <top/>
      <bottom/>
      <diagonal/>
    </border>
    <border>
      <left style="medium">
        <color rgb="FFFFD166"/>
      </left>
      <right/>
      <top style="medium">
        <color rgb="FFFFD166"/>
      </top>
      <bottom/>
      <diagonal/>
    </border>
    <border>
      <left/>
      <right/>
      <top style="medium">
        <color rgb="FFFFD166"/>
      </top>
      <bottom/>
      <diagonal/>
    </border>
    <border>
      <left style="medium">
        <color rgb="FFFFD166"/>
      </left>
      <right/>
      <top/>
      <bottom style="medium">
        <color rgb="FFFFD166"/>
      </bottom>
      <diagonal/>
    </border>
    <border>
      <left/>
      <right/>
      <top/>
      <bottom style="medium">
        <color rgb="FFFFD166"/>
      </bottom>
      <diagonal/>
    </border>
    <border>
      <left/>
      <right style="medium">
        <color rgb="FFFFD166"/>
      </right>
      <top style="medium">
        <color rgb="FFFFD166"/>
      </top>
      <bottom/>
      <diagonal/>
    </border>
    <border>
      <left/>
      <right style="medium">
        <color rgb="FFFFD166"/>
      </right>
      <top/>
      <bottom/>
      <diagonal/>
    </border>
    <border>
      <left/>
      <right style="medium">
        <color rgb="FFFFD166"/>
      </right>
      <top/>
      <bottom style="medium">
        <color rgb="FFFFD166"/>
      </bottom>
      <diagonal/>
    </border>
    <border>
      <left style="medium">
        <color rgb="FFE63946"/>
      </left>
      <right/>
      <top/>
      <bottom/>
      <diagonal/>
    </border>
    <border>
      <left style="medium">
        <color rgb="FFE63946"/>
      </left>
      <right/>
      <top style="medium">
        <color rgb="FFE63946"/>
      </top>
      <bottom/>
      <diagonal/>
    </border>
    <border>
      <left/>
      <right/>
      <top style="medium">
        <color rgb="FFE63946"/>
      </top>
      <bottom/>
      <diagonal/>
    </border>
    <border>
      <left style="medium">
        <color rgb="FFE63946"/>
      </left>
      <right/>
      <top/>
      <bottom style="medium">
        <color rgb="FFE63946"/>
      </bottom>
      <diagonal/>
    </border>
    <border>
      <left/>
      <right/>
      <top/>
      <bottom style="medium">
        <color rgb="FFE63946"/>
      </bottom>
      <diagonal/>
    </border>
    <border>
      <left/>
      <right style="medium">
        <color rgb="FFE63946"/>
      </right>
      <top style="medium">
        <color rgb="FFE63946"/>
      </top>
      <bottom/>
      <diagonal/>
    </border>
    <border>
      <left/>
      <right style="medium">
        <color rgb="FFE63946"/>
      </right>
      <top/>
      <bottom/>
      <diagonal/>
    </border>
    <border>
      <left/>
      <right style="medium">
        <color rgb="FFE63946"/>
      </right>
      <top/>
      <bottom style="medium">
        <color rgb="FFE63946"/>
      </bottom>
      <diagonal/>
    </border>
    <border>
      <left style="medium">
        <color rgb="FFF72585"/>
      </left>
      <right/>
      <top/>
      <bottom/>
      <diagonal/>
    </border>
    <border>
      <left style="medium">
        <color rgb="FFF72585"/>
      </left>
      <right/>
      <top style="medium">
        <color rgb="FFF72585"/>
      </top>
      <bottom/>
      <diagonal/>
    </border>
    <border>
      <left/>
      <right/>
      <top style="medium">
        <color rgb="FFF72585"/>
      </top>
      <bottom/>
      <diagonal/>
    </border>
    <border>
      <left style="medium">
        <color rgb="FFF72585"/>
      </left>
      <right/>
      <top/>
      <bottom style="medium">
        <color rgb="FFF72585"/>
      </bottom>
      <diagonal/>
    </border>
    <border>
      <left/>
      <right/>
      <top/>
      <bottom style="medium">
        <color rgb="FFF72585"/>
      </bottom>
      <diagonal/>
    </border>
    <border>
      <left/>
      <right style="medium">
        <color rgb="FFF72585"/>
      </right>
      <top style="medium">
        <color rgb="FFF72585"/>
      </top>
      <bottom/>
      <diagonal/>
    </border>
    <border>
      <left/>
      <right style="medium">
        <color rgb="FFF72585"/>
      </right>
      <top/>
      <bottom/>
      <diagonal/>
    </border>
    <border>
      <left/>
      <right style="medium">
        <color rgb="FFF72585"/>
      </right>
      <top/>
      <bottom style="medium">
        <color rgb="FFF72585"/>
      </bottom>
      <diagonal/>
    </border>
    <border>
      <left style="medium">
        <color rgb="FF7B0D1E"/>
      </left>
      <right/>
      <top/>
      <bottom/>
      <diagonal/>
    </border>
    <border>
      <left style="medium">
        <color rgb="FF7B0D1E"/>
      </left>
      <right/>
      <top style="medium">
        <color rgb="FF7B0D1E"/>
      </top>
      <bottom/>
      <diagonal/>
    </border>
    <border>
      <left/>
      <right/>
      <top style="medium">
        <color rgb="FF7B0D1E"/>
      </top>
      <bottom/>
      <diagonal/>
    </border>
    <border>
      <left style="medium">
        <color rgb="FF7B0D1E"/>
      </left>
      <right/>
      <top/>
      <bottom style="medium">
        <color rgb="FF7B0D1E"/>
      </bottom>
      <diagonal/>
    </border>
    <border>
      <left/>
      <right/>
      <top/>
      <bottom style="medium">
        <color rgb="FF7B0D1E"/>
      </bottom>
      <diagonal/>
    </border>
    <border>
      <left/>
      <right style="medium">
        <color rgb="FF7B0D1E"/>
      </right>
      <top style="medium">
        <color rgb="FF7B0D1E"/>
      </top>
      <bottom/>
      <diagonal/>
    </border>
    <border>
      <left/>
      <right style="medium">
        <color rgb="FF7B0D1E"/>
      </right>
      <top/>
      <bottom/>
      <diagonal/>
    </border>
    <border>
      <left/>
      <right style="medium">
        <color rgb="FF7B0D1E"/>
      </right>
      <top/>
      <bottom style="medium">
        <color rgb="FF7B0D1E"/>
      </bottom>
      <diagonal/>
    </border>
    <border>
      <left style="thin">
        <color rgb="FFB8C4D6"/>
      </left>
      <right style="thin">
        <color rgb="FFB8C4D6"/>
      </right>
      <top style="thin">
        <color rgb="FFB8C4D6"/>
      </top>
      <bottom style="thin">
        <color rgb="FFB8C4D6"/>
      </bottom>
      <diagonal/>
    </border>
    <border>
      <left style="thin">
        <color rgb="FFB8C4D6"/>
      </left>
      <right style="thin">
        <color rgb="FFB8C4D6"/>
      </right>
      <top style="thin">
        <color rgb="FFB8C4D6"/>
      </top>
      <bottom/>
      <diagonal/>
    </border>
    <border>
      <left style="thin">
        <color rgb="FFB8C4D6"/>
      </left>
      <right style="thin">
        <color rgb="FFB8C4D6"/>
      </right>
      <top/>
      <bottom style="thin">
        <color rgb="FFB8C4D6"/>
      </bottom>
      <diagonal/>
    </border>
    <border>
      <left style="thin">
        <color rgb="FFB8C4D6"/>
      </left>
      <right style="thin">
        <color rgb="FFB8C4D6"/>
      </right>
      <top style="medium">
        <color rgb="FF0B2545"/>
      </top>
      <bottom style="thin">
        <color rgb="FFB8C4D6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FFFFFF"/>
      </right>
      <top/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/>
      <bottom style="thin">
        <color rgb="FFFFFFFF"/>
      </bottom>
      <diagonal/>
    </border>
    <border>
      <left style="thin">
        <color rgb="FF262626"/>
      </left>
      <right style="thin">
        <color rgb="FFFFFFFF"/>
      </right>
      <top style="thin">
        <color rgb="FF262626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262626"/>
      </top>
      <bottom style="thin">
        <color rgb="FFFFFFFF"/>
      </bottom>
      <diagonal/>
    </border>
    <border>
      <left style="thin">
        <color rgb="FF262626"/>
      </left>
      <right style="thin">
        <color rgb="FFFFFFFF"/>
      </right>
      <top style="thin">
        <color rgb="FF262626"/>
      </top>
      <bottom style="thin">
        <color rgb="FF262626"/>
      </bottom>
      <diagonal/>
    </border>
    <border>
      <left style="thin">
        <color rgb="FFFFFFFF"/>
      </left>
      <right style="thin">
        <color rgb="FFFFFFFF"/>
      </right>
      <top style="thin">
        <color rgb="FF262626"/>
      </top>
      <bottom style="thin">
        <color rgb="FF262626"/>
      </bottom>
      <diagonal/>
    </border>
    <border>
      <left style="thin">
        <color rgb="FFFFFFFF"/>
      </left>
      <right style="thin">
        <color rgb="FF262626"/>
      </right>
      <top style="thin">
        <color rgb="FF262626"/>
      </top>
      <bottom style="thin">
        <color rgb="FF262626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/>
      <diagonal/>
    </border>
    <border>
      <left style="thin">
        <color rgb="FF262626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/>
      <bottom style="medium">
        <color rgb="FF000000"/>
      </bottom>
      <diagonal/>
    </border>
    <border>
      <left style="thin">
        <color rgb="FF262626"/>
      </left>
      <right style="thin">
        <color rgb="FFFFFFFF"/>
      </right>
      <top style="thin">
        <color rgb="FF262626"/>
      </top>
      <bottom/>
      <diagonal/>
    </border>
    <border>
      <left style="thin">
        <color rgb="FFFFFFFF"/>
      </left>
      <right style="thin">
        <color rgb="FFFFFFFF"/>
      </right>
      <top style="thin">
        <color rgb="FF262626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62626"/>
      </bottom>
      <diagonal/>
    </border>
    <border>
      <left style="thin">
        <color rgb="FF262626"/>
      </left>
      <right style="thin">
        <color rgb="FFFFFFFF"/>
      </right>
      <top/>
      <bottom style="thin">
        <color rgb="FF262626"/>
      </bottom>
      <diagonal/>
    </border>
    <border>
      <left style="thin">
        <color rgb="FFFFFFFF"/>
      </left>
      <right style="thin">
        <color rgb="FFFFFFFF"/>
      </right>
      <top/>
      <bottom style="thin">
        <color rgb="FF262626"/>
      </bottom>
      <diagonal/>
    </border>
    <border>
      <left style="thin">
        <color rgb="FF262626"/>
      </left>
      <right style="thin">
        <color rgb="FFFFFFFF"/>
      </right>
      <top style="thin">
        <color rgb="FFFFFFFF"/>
      </top>
      <bottom style="thin">
        <color rgb="FF262626"/>
      </bottom>
      <diagonal/>
    </border>
    <border>
      <left style="thin">
        <color rgb="FFFFFFFF"/>
      </left>
      <right style="thin">
        <color rgb="FF262626"/>
      </right>
      <top style="thin">
        <color rgb="FF262626"/>
      </top>
      <bottom/>
      <diagonal/>
    </border>
    <border>
      <left style="thin">
        <color rgb="FFFFFFFF"/>
      </left>
      <right style="thin">
        <color rgb="FF262626"/>
      </right>
      <top/>
      <bottom style="thin">
        <color rgb="FF262626"/>
      </bottom>
      <diagonal/>
    </border>
    <border>
      <left style="thin">
        <color rgb="FFFFFFFF"/>
      </left>
      <right style="thin">
        <color rgb="FF262626"/>
      </right>
      <top style="thin">
        <color rgb="FF262626"/>
      </top>
      <bottom style="thin">
        <color rgb="FFFFFFFF"/>
      </bottom>
      <diagonal/>
    </border>
    <border>
      <left style="thin">
        <color rgb="FFFFFFFF"/>
      </left>
      <right style="thin">
        <color rgb="FF262626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62626"/>
      </right>
      <top style="thin">
        <color rgb="FFFFFFFF"/>
      </top>
      <bottom style="thin">
        <color rgb="FF262626"/>
      </bottom>
      <diagonal/>
    </border>
    <border>
      <left style="thin">
        <color rgb="FFFFFFFF"/>
      </left>
      <right/>
      <top style="thin">
        <color rgb="FF262626"/>
      </top>
      <bottom style="thin">
        <color rgb="FF262626"/>
      </bottom>
      <diagonal/>
    </border>
    <border>
      <left/>
      <right style="thin">
        <color rgb="FFFFFFFF"/>
      </right>
      <top style="thin">
        <color rgb="FF262626"/>
      </top>
      <bottom/>
      <diagonal/>
    </border>
    <border>
      <left/>
      <right style="thin">
        <color rgb="FFFFFFFF"/>
      </right>
      <top/>
      <bottom style="thin">
        <color rgb="FF262626"/>
      </bottom>
      <diagonal/>
    </border>
    <border>
      <left style="thin">
        <color rgb="FFFFFFFF"/>
      </left>
      <right/>
      <top style="thin">
        <color rgb="FF262626"/>
      </top>
      <bottom/>
      <diagonal/>
    </border>
    <border>
      <left style="thin">
        <color rgb="FFFFFFFF"/>
      </left>
      <right/>
      <top style="thin">
        <color rgb="FF262626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262626"/>
      </bottom>
      <diagonal/>
    </border>
    <border>
      <left style="thin">
        <color rgb="FFFFFFFF"/>
      </left>
      <right/>
      <top/>
      <bottom style="thin">
        <color rgb="FF262626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/>
      <diagonal/>
    </border>
    <border>
      <left style="thin">
        <color rgb="FF262626"/>
      </left>
      <right style="thin">
        <color rgb="FF262626"/>
      </right>
      <top style="thin">
        <color rgb="FFFFFFFF"/>
      </top>
      <bottom style="thin">
        <color rgb="FFFFFFFF"/>
      </bottom>
      <diagonal/>
    </border>
    <border>
      <left style="thin">
        <color rgb="FF262626"/>
      </left>
      <right style="thin">
        <color rgb="FF262626"/>
      </right>
      <top style="thin">
        <color rgb="FF262626"/>
      </top>
      <bottom style="thin">
        <color rgb="FFFFFFFF"/>
      </bottom>
      <diagonal/>
    </border>
    <border>
      <left style="thin">
        <color rgb="FF262626"/>
      </left>
      <right style="thin">
        <color rgb="FF262626"/>
      </right>
      <top style="thin">
        <color rgb="FFFFFFFF"/>
      </top>
      <bottom style="thin">
        <color rgb="FF262626"/>
      </bottom>
      <diagonal/>
    </border>
    <border>
      <left style="thin">
        <color rgb="FF262626"/>
      </left>
      <right style="thin">
        <color rgb="FF262626"/>
      </right>
      <top style="thin">
        <color rgb="FF262626"/>
      </top>
      <bottom style="thin">
        <color rgb="FF262626"/>
      </bottom>
      <diagonal/>
    </border>
    <border>
      <left/>
      <right style="medium">
        <color rgb="FF000000"/>
      </right>
      <top/>
      <bottom/>
      <diagonal/>
    </border>
    <border>
      <left style="thin">
        <color rgb="FF262626"/>
      </left>
      <right/>
      <top style="thin">
        <color rgb="FF262626"/>
      </top>
      <bottom style="thin">
        <color rgb="FFFFFFFF"/>
      </bottom>
      <diagonal/>
    </border>
    <border>
      <left/>
      <right style="thin">
        <color rgb="FFFFFFFF"/>
      </right>
      <top style="thin">
        <color rgb="FF262626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262626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262626"/>
      </right>
      <top/>
      <bottom style="thin">
        <color rgb="FFFFFFFF"/>
      </bottom>
      <diagonal/>
    </border>
    <border>
      <left style="thin">
        <color rgb="FF262626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262626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262626"/>
      </bottom>
      <diagonal/>
    </border>
    <border>
      <left style="thin">
        <color rgb="FF262626"/>
      </left>
      <right/>
      <top style="thin">
        <color rgb="FFFFFFFF"/>
      </top>
      <bottom style="thin">
        <color rgb="FF262626"/>
      </bottom>
      <diagonal/>
    </border>
    <border>
      <left style="thin">
        <color rgb="FFFFFFFF"/>
      </left>
      <right style="medium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262626"/>
      </top>
      <bottom style="thin">
        <color rgb="FF262626"/>
      </bottom>
      <diagonal/>
    </border>
    <border>
      <left style="thin">
        <color rgb="FF262626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262626"/>
      </left>
      <right style="thin">
        <color rgb="FF262626"/>
      </right>
      <top/>
      <bottom style="thin">
        <color rgb="FFFFFFFF"/>
      </bottom>
      <diagonal/>
    </border>
    <border>
      <left style="thin">
        <color rgb="FF262626"/>
      </left>
      <right style="thin">
        <color rgb="FF262626"/>
      </right>
      <top style="thin">
        <color rgb="FFFFFFFF"/>
      </top>
      <bottom/>
      <diagonal/>
    </border>
    <border>
      <left/>
      <right style="thin">
        <color rgb="FF262626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 style="thin">
        <color rgb="FF262626"/>
      </right>
      <top style="thin">
        <color rgb="FF262626"/>
      </top>
      <bottom style="thin">
        <color rgb="FFFFFFFF"/>
      </bottom>
      <diagonal/>
    </border>
    <border>
      <left/>
      <right style="thin">
        <color rgb="FF262626"/>
      </right>
      <top style="thin">
        <color rgb="FFFFFFFF"/>
      </top>
      <bottom style="thin">
        <color rgb="FF262626"/>
      </bottom>
      <diagonal/>
    </border>
    <border>
      <left/>
      <right/>
      <top style="thin">
        <color rgb="FF262626"/>
      </top>
      <bottom style="thin">
        <color rgb="FF262626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/>
      <diagonal/>
    </border>
    <border>
      <left style="thin">
        <color rgb="FFFFFFFF"/>
      </left>
      <right/>
      <top/>
      <bottom style="medium">
        <color rgb="FF000000"/>
      </bottom>
      <diagonal/>
    </border>
    <border>
      <left style="thin">
        <color rgb="FF262626"/>
      </left>
      <right style="thin">
        <color rgb="FF262626"/>
      </right>
      <top/>
      <bottom style="thin">
        <color rgb="FF26262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2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49" fontId="14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15" fillId="2" borderId="74" xfId="0" applyNumberFormat="1" applyFont="1" applyFill="1" applyBorder="1" applyAlignment="1">
      <alignment horizontal="center" vertical="center"/>
    </xf>
    <xf numFmtId="0" fontId="15" fillId="2" borderId="74" xfId="0" applyFont="1" applyFill="1" applyBorder="1" applyAlignment="1">
      <alignment horizontal="center" vertical="center"/>
    </xf>
    <xf numFmtId="49" fontId="16" fillId="0" borderId="74" xfId="0" applyNumberFormat="1" applyFont="1" applyBorder="1" applyAlignment="1">
      <alignment vertical="top" wrapText="1"/>
    </xf>
    <xf numFmtId="0" fontId="16" fillId="0" borderId="74" xfId="0" applyFont="1" applyBorder="1" applyAlignment="1">
      <alignment vertical="top" wrapText="1"/>
    </xf>
    <xf numFmtId="0" fontId="5" fillId="3" borderId="74" xfId="0" applyFont="1" applyFill="1" applyBorder="1" applyAlignment="1">
      <alignment vertical="top" wrapText="1"/>
    </xf>
    <xf numFmtId="0" fontId="6" fillId="4" borderId="74" xfId="0" applyFont="1" applyFill="1" applyBorder="1" applyAlignment="1">
      <alignment vertical="top" wrapText="1"/>
    </xf>
    <xf numFmtId="0" fontId="7" fillId="7" borderId="74" xfId="0" applyFont="1" applyFill="1" applyBorder="1" applyAlignment="1">
      <alignment vertical="top" wrapText="1"/>
    </xf>
    <xf numFmtId="0" fontId="6" fillId="8" borderId="74" xfId="0" applyFont="1" applyFill="1" applyBorder="1" applyAlignment="1">
      <alignment vertical="top" wrapText="1"/>
    </xf>
    <xf numFmtId="49" fontId="16" fillId="0" borderId="75" xfId="0" applyNumberFormat="1" applyFont="1" applyBorder="1" applyAlignment="1">
      <alignment vertical="top" wrapText="1"/>
    </xf>
    <xf numFmtId="0" fontId="5" fillId="3" borderId="75" xfId="0" applyFont="1" applyFill="1" applyBorder="1" applyAlignment="1">
      <alignment vertical="top" wrapText="1"/>
    </xf>
    <xf numFmtId="0" fontId="16" fillId="0" borderId="75" xfId="0" applyFont="1" applyBorder="1" applyAlignment="1">
      <alignment vertical="top" wrapText="1"/>
    </xf>
    <xf numFmtId="49" fontId="16" fillId="0" borderId="76" xfId="0" applyNumberFormat="1" applyFont="1" applyBorder="1" applyAlignment="1">
      <alignment vertical="top" wrapText="1"/>
    </xf>
    <xf numFmtId="0" fontId="16" fillId="0" borderId="76" xfId="0" applyFont="1" applyBorder="1" applyAlignment="1">
      <alignment vertical="top" wrapText="1"/>
    </xf>
    <xf numFmtId="49" fontId="16" fillId="0" borderId="77" xfId="0" applyNumberFormat="1" applyFont="1" applyBorder="1" applyAlignment="1">
      <alignment vertical="top" wrapText="1"/>
    </xf>
    <xf numFmtId="0" fontId="5" fillId="3" borderId="77" xfId="0" applyFont="1" applyFill="1" applyBorder="1" applyAlignment="1">
      <alignment vertical="top" wrapText="1"/>
    </xf>
    <xf numFmtId="0" fontId="16" fillId="0" borderId="77" xfId="0" applyFont="1" applyBorder="1" applyAlignment="1">
      <alignment vertical="top" wrapText="1"/>
    </xf>
    <xf numFmtId="0" fontId="5" fillId="11" borderId="76" xfId="0" applyFont="1" applyFill="1" applyBorder="1" applyAlignment="1">
      <alignment vertical="top" wrapText="1"/>
    </xf>
    <xf numFmtId="0" fontId="5" fillId="9" borderId="74" xfId="0" applyFont="1" applyFill="1" applyBorder="1" applyAlignment="1">
      <alignment vertical="top" wrapText="1"/>
    </xf>
    <xf numFmtId="0" fontId="6" fillId="5" borderId="74" xfId="0" applyFont="1" applyFill="1" applyBorder="1" applyAlignment="1">
      <alignment vertical="top" wrapText="1"/>
    </xf>
    <xf numFmtId="0" fontId="6" fillId="10" borderId="74" xfId="0" applyFont="1" applyFill="1" applyBorder="1" applyAlignment="1">
      <alignment vertical="top" wrapText="1"/>
    </xf>
    <xf numFmtId="0" fontId="5" fillId="11" borderId="74" xfId="0" applyFont="1" applyFill="1" applyBorder="1" applyAlignment="1">
      <alignment vertical="top" wrapText="1"/>
    </xf>
    <xf numFmtId="49" fontId="16" fillId="14" borderId="74" xfId="0" applyNumberFormat="1" applyFont="1" applyFill="1" applyBorder="1" applyAlignment="1">
      <alignment vertical="top" wrapText="1"/>
    </xf>
    <xf numFmtId="0" fontId="6" fillId="6" borderId="74" xfId="0" applyFont="1" applyFill="1" applyBorder="1" applyAlignment="1">
      <alignment vertical="top" wrapText="1"/>
    </xf>
    <xf numFmtId="0" fontId="17" fillId="0" borderId="74" xfId="0" applyFont="1" applyBorder="1" applyAlignment="1">
      <alignment horizontal="center" vertical="top" wrapText="1"/>
    </xf>
    <xf numFmtId="0" fontId="17" fillId="0" borderId="75" xfId="0" applyFont="1" applyBorder="1" applyAlignment="1">
      <alignment horizontal="center" vertical="top" wrapText="1"/>
    </xf>
    <xf numFmtId="0" fontId="17" fillId="0" borderId="77" xfId="0" applyFont="1" applyBorder="1" applyAlignment="1">
      <alignment horizontal="center" vertical="top" wrapText="1"/>
    </xf>
    <xf numFmtId="0" fontId="17" fillId="0" borderId="76" xfId="0" applyFont="1" applyBorder="1" applyAlignment="1">
      <alignment horizontal="center" vertical="top" wrapText="1"/>
    </xf>
    <xf numFmtId="0" fontId="18" fillId="0" borderId="0" xfId="0" applyFont="1">
      <alignment vertical="center"/>
    </xf>
    <xf numFmtId="0" fontId="19" fillId="0" borderId="74" xfId="0" applyFont="1" applyBorder="1" applyAlignment="1">
      <alignment vertical="top" wrapText="1"/>
    </xf>
    <xf numFmtId="0" fontId="12" fillId="2" borderId="74" xfId="0" applyFont="1" applyFill="1" applyBorder="1" applyAlignment="1">
      <alignment vertical="top" wrapText="1"/>
    </xf>
    <xf numFmtId="0" fontId="19" fillId="15" borderId="74" xfId="0" applyFont="1" applyFill="1" applyBorder="1" applyAlignment="1">
      <alignment vertical="top" wrapText="1"/>
    </xf>
    <xf numFmtId="0" fontId="20" fillId="0" borderId="0" xfId="0" applyFont="1">
      <alignment vertical="center"/>
    </xf>
    <xf numFmtId="0" fontId="19" fillId="0" borderId="74" xfId="0" applyFont="1" applyBorder="1">
      <alignment vertical="center"/>
    </xf>
    <xf numFmtId="0" fontId="19" fillId="0" borderId="74" xfId="0" applyFont="1" applyBorder="1" applyAlignment="1">
      <alignment vertical="center" wrapText="1"/>
    </xf>
    <xf numFmtId="0" fontId="22" fillId="16" borderId="74" xfId="0" applyFont="1" applyFill="1" applyBorder="1" applyAlignment="1">
      <alignment vertical="top" wrapText="1"/>
    </xf>
    <xf numFmtId="0" fontId="23" fillId="0" borderId="0" xfId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16" fillId="0" borderId="0" xfId="0" applyFont="1">
      <alignment vertical="center"/>
    </xf>
    <xf numFmtId="0" fontId="22" fillId="0" borderId="0" xfId="0" applyFont="1">
      <alignment vertical="center"/>
    </xf>
    <xf numFmtId="0" fontId="24" fillId="17" borderId="78" xfId="0" applyFont="1" applyFill="1" applyBorder="1">
      <alignment vertical="center"/>
    </xf>
    <xf numFmtId="0" fontId="26" fillId="0" borderId="0" xfId="0" applyFont="1">
      <alignment vertical="center"/>
    </xf>
    <xf numFmtId="0" fontId="24" fillId="18" borderId="78" xfId="0" applyFont="1" applyFill="1" applyBorder="1">
      <alignment vertical="center"/>
    </xf>
    <xf numFmtId="0" fontId="24" fillId="19" borderId="78" xfId="0" applyFont="1" applyFill="1" applyBorder="1">
      <alignment vertical="center"/>
    </xf>
    <xf numFmtId="0" fontId="24" fillId="20" borderId="78" xfId="0" applyFont="1" applyFill="1" applyBorder="1">
      <alignment vertical="center"/>
    </xf>
    <xf numFmtId="0" fontId="24" fillId="21" borderId="78" xfId="0" applyFont="1" applyFill="1" applyBorder="1">
      <alignment vertical="center"/>
    </xf>
    <xf numFmtId="0" fontId="24" fillId="22" borderId="78" xfId="0" applyFont="1" applyFill="1" applyBorder="1">
      <alignment vertical="center"/>
    </xf>
    <xf numFmtId="0" fontId="24" fillId="23" borderId="78" xfId="0" applyFont="1" applyFill="1" applyBorder="1">
      <alignment vertical="center"/>
    </xf>
    <xf numFmtId="0" fontId="24" fillId="24" borderId="78" xfId="0" applyFont="1" applyFill="1" applyBorder="1">
      <alignment vertical="center"/>
    </xf>
    <xf numFmtId="0" fontId="24" fillId="25" borderId="78" xfId="0" applyFont="1" applyFill="1" applyBorder="1">
      <alignment vertical="center"/>
    </xf>
    <xf numFmtId="0" fontId="24" fillId="26" borderId="78" xfId="0" applyFont="1" applyFill="1" applyBorder="1">
      <alignment vertical="center"/>
    </xf>
    <xf numFmtId="0" fontId="24" fillId="27" borderId="78" xfId="0" applyFont="1" applyFill="1" applyBorder="1">
      <alignment vertical="center"/>
    </xf>
    <xf numFmtId="0" fontId="24" fillId="28" borderId="78" xfId="0" applyFont="1" applyFill="1" applyBorder="1">
      <alignment vertical="center"/>
    </xf>
    <xf numFmtId="0" fontId="24" fillId="29" borderId="78" xfId="0" applyFont="1" applyFill="1" applyBorder="1">
      <alignment vertical="center"/>
    </xf>
    <xf numFmtId="0" fontId="24" fillId="30" borderId="78" xfId="0" applyFont="1" applyFill="1" applyBorder="1">
      <alignment vertical="center"/>
    </xf>
    <xf numFmtId="0" fontId="24" fillId="31" borderId="78" xfId="0" applyFont="1" applyFill="1" applyBorder="1">
      <alignment vertical="center"/>
    </xf>
    <xf numFmtId="0" fontId="24" fillId="32" borderId="78" xfId="0" applyFont="1" applyFill="1" applyBorder="1">
      <alignment vertical="center"/>
    </xf>
    <xf numFmtId="0" fontId="24" fillId="33" borderId="78" xfId="0" applyFont="1" applyFill="1" applyBorder="1">
      <alignment vertical="center"/>
    </xf>
    <xf numFmtId="0" fontId="24" fillId="34" borderId="78" xfId="0" applyFont="1" applyFill="1" applyBorder="1">
      <alignment vertical="center"/>
    </xf>
    <xf numFmtId="0" fontId="24" fillId="35" borderId="78" xfId="0" applyFont="1" applyFill="1" applyBorder="1">
      <alignment vertical="center"/>
    </xf>
    <xf numFmtId="0" fontId="24" fillId="36" borderId="78" xfId="0" applyFont="1" applyFill="1" applyBorder="1">
      <alignment vertical="center"/>
    </xf>
    <xf numFmtId="0" fontId="24" fillId="37" borderId="78" xfId="0" applyFont="1" applyFill="1" applyBorder="1">
      <alignment vertical="center"/>
    </xf>
    <xf numFmtId="0" fontId="24" fillId="38" borderId="78" xfId="0" applyFont="1" applyFill="1" applyBorder="1">
      <alignment vertical="center"/>
    </xf>
    <xf numFmtId="0" fontId="24" fillId="39" borderId="78" xfId="0" applyFont="1" applyFill="1" applyBorder="1">
      <alignment vertical="center"/>
    </xf>
    <xf numFmtId="0" fontId="24" fillId="40" borderId="78" xfId="0" applyFont="1" applyFill="1" applyBorder="1">
      <alignment vertical="center"/>
    </xf>
    <xf numFmtId="0" fontId="24" fillId="41" borderId="78" xfId="0" applyFont="1" applyFill="1" applyBorder="1">
      <alignment vertical="center"/>
    </xf>
    <xf numFmtId="0" fontId="24" fillId="42" borderId="78" xfId="0" applyFont="1" applyFill="1" applyBorder="1">
      <alignment vertical="center"/>
    </xf>
    <xf numFmtId="0" fontId="24" fillId="43" borderId="78" xfId="0" applyFont="1" applyFill="1" applyBorder="1">
      <alignment vertical="center"/>
    </xf>
    <xf numFmtId="0" fontId="24" fillId="44" borderId="78" xfId="0" applyFont="1" applyFill="1" applyBorder="1">
      <alignment vertical="center"/>
    </xf>
    <xf numFmtId="0" fontId="24" fillId="45" borderId="78" xfId="0" applyFont="1" applyFill="1" applyBorder="1">
      <alignment vertical="center"/>
    </xf>
    <xf numFmtId="0" fontId="24" fillId="46" borderId="78" xfId="0" applyFont="1" applyFill="1" applyBorder="1">
      <alignment vertical="center"/>
    </xf>
    <xf numFmtId="0" fontId="24" fillId="47" borderId="78" xfId="0" applyFont="1" applyFill="1" applyBorder="1">
      <alignment vertical="center"/>
    </xf>
    <xf numFmtId="0" fontId="24" fillId="48" borderId="78" xfId="0" applyFont="1" applyFill="1" applyBorder="1">
      <alignment vertical="center"/>
    </xf>
    <xf numFmtId="0" fontId="24" fillId="49" borderId="78" xfId="0" applyFont="1" applyFill="1" applyBorder="1">
      <alignment vertical="center"/>
    </xf>
    <xf numFmtId="0" fontId="24" fillId="50" borderId="78" xfId="0" applyFont="1" applyFill="1" applyBorder="1">
      <alignment vertical="center"/>
    </xf>
    <xf numFmtId="0" fontId="24" fillId="51" borderId="78" xfId="0" applyFont="1" applyFill="1" applyBorder="1">
      <alignment vertical="center"/>
    </xf>
    <xf numFmtId="0" fontId="24" fillId="52" borderId="78" xfId="0" applyFont="1" applyFill="1" applyBorder="1">
      <alignment vertical="center"/>
    </xf>
    <xf numFmtId="0" fontId="24" fillId="53" borderId="78" xfId="0" applyFont="1" applyFill="1" applyBorder="1">
      <alignment vertical="center"/>
    </xf>
    <xf numFmtId="0" fontId="24" fillId="54" borderId="78" xfId="0" applyFont="1" applyFill="1" applyBorder="1">
      <alignment vertical="center"/>
    </xf>
    <xf numFmtId="0" fontId="24" fillId="55" borderId="78" xfId="0" applyFont="1" applyFill="1" applyBorder="1">
      <alignment vertical="center"/>
    </xf>
    <xf numFmtId="0" fontId="24" fillId="56" borderId="78" xfId="0" applyFont="1" applyFill="1" applyBorder="1">
      <alignment vertical="center"/>
    </xf>
    <xf numFmtId="0" fontId="24" fillId="57" borderId="78" xfId="0" applyFont="1" applyFill="1" applyBorder="1">
      <alignment vertical="center"/>
    </xf>
    <xf numFmtId="0" fontId="24" fillId="58" borderId="78" xfId="0" applyFont="1" applyFill="1" applyBorder="1">
      <alignment vertical="center"/>
    </xf>
    <xf numFmtId="0" fontId="24" fillId="59" borderId="78" xfId="0" applyFont="1" applyFill="1" applyBorder="1">
      <alignment vertical="center"/>
    </xf>
    <xf numFmtId="0" fontId="24" fillId="60" borderId="78" xfId="0" applyFont="1" applyFill="1" applyBorder="1">
      <alignment vertical="center"/>
    </xf>
    <xf numFmtId="0" fontId="24" fillId="61" borderId="78" xfId="0" applyFont="1" applyFill="1" applyBorder="1">
      <alignment vertical="center"/>
    </xf>
    <xf numFmtId="0" fontId="24" fillId="62" borderId="78" xfId="0" applyFont="1" applyFill="1" applyBorder="1">
      <alignment vertical="center"/>
    </xf>
    <xf numFmtId="0" fontId="24" fillId="63" borderId="78" xfId="0" applyFont="1" applyFill="1" applyBorder="1">
      <alignment vertical="center"/>
    </xf>
    <xf numFmtId="0" fontId="24" fillId="64" borderId="78" xfId="0" applyFont="1" applyFill="1" applyBorder="1">
      <alignment vertical="center"/>
    </xf>
    <xf numFmtId="0" fontId="24" fillId="65" borderId="78" xfId="0" applyFont="1" applyFill="1" applyBorder="1">
      <alignment vertical="center"/>
    </xf>
    <xf numFmtId="0" fontId="24" fillId="66" borderId="78" xfId="0" applyFont="1" applyFill="1" applyBorder="1">
      <alignment vertical="center"/>
    </xf>
    <xf numFmtId="0" fontId="24" fillId="67" borderId="78" xfId="0" applyFont="1" applyFill="1" applyBorder="1">
      <alignment vertical="center"/>
    </xf>
    <xf numFmtId="0" fontId="24" fillId="68" borderId="78" xfId="0" applyFont="1" applyFill="1" applyBorder="1">
      <alignment vertical="center"/>
    </xf>
    <xf numFmtId="0" fontId="24" fillId="69" borderId="78" xfId="0" applyFont="1" applyFill="1" applyBorder="1">
      <alignment vertical="center"/>
    </xf>
    <xf numFmtId="0" fontId="24" fillId="70" borderId="78" xfId="0" applyFont="1" applyFill="1" applyBorder="1">
      <alignment vertical="center"/>
    </xf>
    <xf numFmtId="0" fontId="24" fillId="71" borderId="78" xfId="0" applyFont="1" applyFill="1" applyBorder="1">
      <alignment vertical="center"/>
    </xf>
    <xf numFmtId="0" fontId="24" fillId="72" borderId="78" xfId="0" applyFont="1" applyFill="1" applyBorder="1">
      <alignment vertical="center"/>
    </xf>
    <xf numFmtId="0" fontId="24" fillId="73" borderId="78" xfId="0" applyFont="1" applyFill="1" applyBorder="1">
      <alignment vertical="center"/>
    </xf>
    <xf numFmtId="0" fontId="24" fillId="74" borderId="78" xfId="0" applyFont="1" applyFill="1" applyBorder="1">
      <alignment vertical="center"/>
    </xf>
    <xf numFmtId="0" fontId="24" fillId="75" borderId="78" xfId="0" applyFont="1" applyFill="1" applyBorder="1">
      <alignment vertical="center"/>
    </xf>
    <xf numFmtId="0" fontId="24" fillId="76" borderId="78" xfId="0" applyFont="1" applyFill="1" applyBorder="1">
      <alignment vertical="center"/>
    </xf>
    <xf numFmtId="0" fontId="24" fillId="77" borderId="78" xfId="0" applyFont="1" applyFill="1" applyBorder="1">
      <alignment vertical="center"/>
    </xf>
    <xf numFmtId="0" fontId="24" fillId="78" borderId="78" xfId="0" applyFont="1" applyFill="1" applyBorder="1">
      <alignment vertical="center"/>
    </xf>
    <xf numFmtId="0" fontId="24" fillId="79" borderId="78" xfId="0" applyFont="1" applyFill="1" applyBorder="1">
      <alignment vertical="center"/>
    </xf>
    <xf numFmtId="0" fontId="24" fillId="80" borderId="78" xfId="0" applyFont="1" applyFill="1" applyBorder="1">
      <alignment vertical="center"/>
    </xf>
    <xf numFmtId="0" fontId="24" fillId="81" borderId="78" xfId="0" applyFont="1" applyFill="1" applyBorder="1">
      <alignment vertical="center"/>
    </xf>
    <xf numFmtId="0" fontId="24" fillId="82" borderId="78" xfId="0" applyFont="1" applyFill="1" applyBorder="1">
      <alignment vertical="center"/>
    </xf>
    <xf numFmtId="0" fontId="24" fillId="83" borderId="78" xfId="0" applyFont="1" applyFill="1" applyBorder="1">
      <alignment vertical="center"/>
    </xf>
    <xf numFmtId="0" fontId="24" fillId="84" borderId="78" xfId="0" applyFont="1" applyFill="1" applyBorder="1">
      <alignment vertical="center"/>
    </xf>
    <xf numFmtId="0" fontId="24" fillId="85" borderId="78" xfId="0" applyFont="1" applyFill="1" applyBorder="1">
      <alignment vertical="center"/>
    </xf>
    <xf numFmtId="0" fontId="24" fillId="86" borderId="78" xfId="0" applyFont="1" applyFill="1" applyBorder="1">
      <alignment vertical="center"/>
    </xf>
    <xf numFmtId="0" fontId="24" fillId="87" borderId="78" xfId="0" applyFont="1" applyFill="1" applyBorder="1">
      <alignment vertical="center"/>
    </xf>
    <xf numFmtId="0" fontId="24" fillId="6" borderId="78" xfId="0" applyFont="1" applyFill="1" applyBorder="1">
      <alignment vertical="center"/>
    </xf>
    <xf numFmtId="0" fontId="24" fillId="88" borderId="78" xfId="0" applyFont="1" applyFill="1" applyBorder="1">
      <alignment vertical="center"/>
    </xf>
    <xf numFmtId="0" fontId="24" fillId="4" borderId="78" xfId="0" applyFont="1" applyFill="1" applyBorder="1">
      <alignment vertical="center"/>
    </xf>
    <xf numFmtId="0" fontId="24" fillId="8" borderId="78" xfId="0" applyFont="1" applyFill="1" applyBorder="1">
      <alignment vertical="center"/>
    </xf>
    <xf numFmtId="0" fontId="27" fillId="89" borderId="0" xfId="0" applyFont="1" applyFill="1">
      <alignment vertical="center"/>
    </xf>
    <xf numFmtId="0" fontId="15" fillId="89" borderId="0" xfId="0" applyFont="1" applyFill="1">
      <alignment vertical="center"/>
    </xf>
    <xf numFmtId="0" fontId="28" fillId="89" borderId="0" xfId="1" applyFont="1" applyFill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24" fillId="17" borderId="82" xfId="0" applyFont="1" applyFill="1" applyBorder="1">
      <alignment vertical="center"/>
    </xf>
    <xf numFmtId="0" fontId="24" fillId="17" borderId="83" xfId="0" applyFont="1" applyFill="1" applyBorder="1">
      <alignment vertical="center"/>
    </xf>
    <xf numFmtId="0" fontId="24" fillId="17" borderId="84" xfId="0" applyFont="1" applyFill="1" applyBorder="1">
      <alignment vertical="center"/>
    </xf>
    <xf numFmtId="0" fontId="24" fillId="17" borderId="85" xfId="0" applyFont="1" applyFill="1" applyBorder="1">
      <alignment vertical="center"/>
    </xf>
    <xf numFmtId="0" fontId="24" fillId="17" borderId="86" xfId="0" applyFont="1" applyFill="1" applyBorder="1">
      <alignment vertical="center"/>
    </xf>
    <xf numFmtId="0" fontId="24" fillId="17" borderId="87" xfId="0" applyFont="1" applyFill="1" applyBorder="1">
      <alignment vertical="center"/>
    </xf>
    <xf numFmtId="0" fontId="24" fillId="17" borderId="88" xfId="0" applyFont="1" applyFill="1" applyBorder="1">
      <alignment vertical="center"/>
    </xf>
    <xf numFmtId="0" fontId="24" fillId="17" borderId="89" xfId="0" applyFont="1" applyFill="1" applyBorder="1">
      <alignment vertical="center"/>
    </xf>
    <xf numFmtId="0" fontId="24" fillId="17" borderId="90" xfId="0" applyFont="1" applyFill="1" applyBorder="1">
      <alignment vertical="center"/>
    </xf>
    <xf numFmtId="0" fontId="24" fillId="17" borderId="91" xfId="0" applyFont="1" applyFill="1" applyBorder="1">
      <alignment vertical="center"/>
    </xf>
    <xf numFmtId="0" fontId="24" fillId="17" borderId="92" xfId="0" applyFont="1" applyFill="1" applyBorder="1">
      <alignment vertical="center"/>
    </xf>
    <xf numFmtId="0" fontId="24" fillId="17" borderId="93" xfId="0" applyFont="1" applyFill="1" applyBorder="1">
      <alignment vertical="center"/>
    </xf>
    <xf numFmtId="0" fontId="24" fillId="17" borderId="95" xfId="0" applyFont="1" applyFill="1" applyBorder="1">
      <alignment vertical="center"/>
    </xf>
    <xf numFmtId="0" fontId="24" fillId="17" borderId="96" xfId="0" applyFont="1" applyFill="1" applyBorder="1">
      <alignment vertical="center"/>
    </xf>
    <xf numFmtId="0" fontId="24" fillId="17" borderId="98" xfId="0" applyFont="1" applyFill="1" applyBorder="1">
      <alignment vertical="center"/>
    </xf>
    <xf numFmtId="0" fontId="24" fillId="17" borderId="99" xfId="0" applyFont="1" applyFill="1" applyBorder="1">
      <alignment vertical="center"/>
    </xf>
    <xf numFmtId="0" fontId="24" fillId="31" borderId="92" xfId="0" applyFont="1" applyFill="1" applyBorder="1">
      <alignment vertical="center"/>
    </xf>
    <xf numFmtId="0" fontId="24" fillId="31" borderId="86" xfId="0" applyFont="1" applyFill="1" applyBorder="1">
      <alignment vertical="center"/>
    </xf>
    <xf numFmtId="0" fontId="24" fillId="31" borderId="101" xfId="0" applyFont="1" applyFill="1" applyBorder="1">
      <alignment vertical="center"/>
    </xf>
    <xf numFmtId="0" fontId="24" fillId="30" borderId="105" xfId="0" applyFont="1" applyFill="1" applyBorder="1">
      <alignment vertical="center"/>
    </xf>
    <xf numFmtId="0" fontId="24" fillId="30" borderId="106" xfId="0" applyFont="1" applyFill="1" applyBorder="1">
      <alignment vertical="center"/>
    </xf>
    <xf numFmtId="0" fontId="24" fillId="30" borderId="107" xfId="0" applyFont="1" applyFill="1" applyBorder="1">
      <alignment vertical="center"/>
    </xf>
    <xf numFmtId="0" fontId="24" fillId="30" borderId="108" xfId="0" applyFont="1" applyFill="1" applyBorder="1">
      <alignment vertical="center"/>
    </xf>
    <xf numFmtId="0" fontId="31" fillId="30" borderId="106" xfId="0" applyFont="1" applyFill="1" applyBorder="1">
      <alignment vertical="center"/>
    </xf>
    <xf numFmtId="0" fontId="24" fillId="30" borderId="86" xfId="0" applyFont="1" applyFill="1" applyBorder="1">
      <alignment vertical="center"/>
    </xf>
    <xf numFmtId="0" fontId="24" fillId="31" borderId="91" xfId="0" applyFont="1" applyFill="1" applyBorder="1">
      <alignment vertical="center"/>
    </xf>
    <xf numFmtId="0" fontId="24" fillId="31" borderId="83" xfId="0" applyFont="1" applyFill="1" applyBorder="1">
      <alignment vertical="center"/>
    </xf>
    <xf numFmtId="0" fontId="24" fillId="31" borderId="103" xfId="0" applyFont="1" applyFill="1" applyBorder="1">
      <alignment vertical="center"/>
    </xf>
    <xf numFmtId="0" fontId="24" fillId="30" borderId="110" xfId="0" applyFont="1" applyFill="1" applyBorder="1">
      <alignment vertical="center"/>
    </xf>
    <xf numFmtId="0" fontId="24" fillId="31" borderId="93" xfId="0" applyFont="1" applyFill="1" applyBorder="1">
      <alignment vertical="center"/>
    </xf>
    <xf numFmtId="0" fontId="24" fillId="31" borderId="89" xfId="0" applyFont="1" applyFill="1" applyBorder="1">
      <alignment vertical="center"/>
    </xf>
    <xf numFmtId="0" fontId="24" fillId="31" borderId="109" xfId="0" applyFont="1" applyFill="1" applyBorder="1">
      <alignment vertical="center"/>
    </xf>
    <xf numFmtId="0" fontId="24" fillId="17" borderId="111" xfId="0" applyFont="1" applyFill="1" applyBorder="1">
      <alignment vertical="center"/>
    </xf>
    <xf numFmtId="0" fontId="24" fillId="17" borderId="112" xfId="0" applyFont="1" applyFill="1" applyBorder="1">
      <alignment vertical="center"/>
    </xf>
    <xf numFmtId="0" fontId="24" fillId="17" borderId="113" xfId="0" applyFont="1" applyFill="1" applyBorder="1">
      <alignment vertical="center"/>
    </xf>
    <xf numFmtId="0" fontId="31" fillId="30" borderId="114" xfId="0" applyFont="1" applyFill="1" applyBorder="1">
      <alignment vertical="center"/>
    </xf>
    <xf numFmtId="0" fontId="24" fillId="30" borderId="115" xfId="0" applyFont="1" applyFill="1" applyBorder="1">
      <alignment vertical="center"/>
    </xf>
    <xf numFmtId="0" fontId="24" fillId="79" borderId="115" xfId="0" applyFont="1" applyFill="1" applyBorder="1">
      <alignment vertical="center"/>
    </xf>
    <xf numFmtId="0" fontId="24" fillId="27" borderId="106" xfId="0" applyFont="1" applyFill="1" applyBorder="1">
      <alignment vertical="center"/>
    </xf>
    <xf numFmtId="0" fontId="24" fillId="27" borderId="107" xfId="0" applyFont="1" applyFill="1" applyBorder="1">
      <alignment vertical="center"/>
    </xf>
    <xf numFmtId="0" fontId="24" fillId="27" borderId="108" xfId="0" applyFont="1" applyFill="1" applyBorder="1">
      <alignment vertical="center"/>
    </xf>
    <xf numFmtId="0" fontId="32" fillId="27" borderId="106" xfId="0" applyFont="1" applyFill="1" applyBorder="1">
      <alignment vertical="center"/>
    </xf>
    <xf numFmtId="0" fontId="31" fillId="30" borderId="117" xfId="0" applyFont="1" applyFill="1" applyBorder="1">
      <alignment vertical="center"/>
    </xf>
    <xf numFmtId="0" fontId="24" fillId="30" borderId="118" xfId="0" applyFont="1" applyFill="1" applyBorder="1">
      <alignment vertical="center"/>
    </xf>
    <xf numFmtId="0" fontId="24" fillId="51" borderId="86" xfId="0" applyFont="1" applyFill="1" applyBorder="1">
      <alignment vertical="center"/>
    </xf>
    <xf numFmtId="0" fontId="24" fillId="51" borderId="105" xfId="0" applyFont="1" applyFill="1" applyBorder="1">
      <alignment vertical="center"/>
    </xf>
    <xf numFmtId="0" fontId="24" fillId="51" borderId="116" xfId="0" applyFont="1" applyFill="1" applyBorder="1">
      <alignment vertical="center"/>
    </xf>
    <xf numFmtId="0" fontId="24" fillId="27" borderId="115" xfId="0" applyFont="1" applyFill="1" applyBorder="1">
      <alignment vertical="center"/>
    </xf>
    <xf numFmtId="0" fontId="24" fillId="27" borderId="118" xfId="0" applyFont="1" applyFill="1" applyBorder="1">
      <alignment vertical="center"/>
    </xf>
    <xf numFmtId="0" fontId="24" fillId="51" borderId="110" xfId="0" applyFont="1" applyFill="1" applyBorder="1">
      <alignment vertical="center"/>
    </xf>
    <xf numFmtId="0" fontId="24" fillId="51" borderId="119" xfId="0" applyFont="1" applyFill="1" applyBorder="1">
      <alignment vertical="center"/>
    </xf>
    <xf numFmtId="0" fontId="24" fillId="51" borderId="122" xfId="0" applyFont="1" applyFill="1" applyBorder="1">
      <alignment vertical="center"/>
    </xf>
    <xf numFmtId="0" fontId="24" fillId="51" borderId="123" xfId="0" applyFont="1" applyFill="1" applyBorder="1">
      <alignment vertical="center"/>
    </xf>
    <xf numFmtId="0" fontId="24" fillId="51" borderId="124" xfId="0" applyFont="1" applyFill="1" applyBorder="1">
      <alignment vertical="center"/>
    </xf>
    <xf numFmtId="0" fontId="31" fillId="51" borderId="104" xfId="0" applyFont="1" applyFill="1" applyBorder="1">
      <alignment vertical="center"/>
    </xf>
    <xf numFmtId="0" fontId="24" fillId="31" borderId="107" xfId="0" applyFont="1" applyFill="1" applyBorder="1">
      <alignment vertical="center"/>
    </xf>
    <xf numFmtId="0" fontId="24" fillId="27" borderId="125" xfId="0" applyFont="1" applyFill="1" applyBorder="1">
      <alignment vertical="center"/>
    </xf>
    <xf numFmtId="0" fontId="24" fillId="27" borderId="126" xfId="0" applyFont="1" applyFill="1" applyBorder="1">
      <alignment vertical="center"/>
    </xf>
    <xf numFmtId="0" fontId="24" fillId="31" borderId="108" xfId="0" applyFont="1" applyFill="1" applyBorder="1">
      <alignment vertical="center"/>
    </xf>
    <xf numFmtId="0" fontId="33" fillId="31" borderId="106" xfId="0" applyFont="1" applyFill="1" applyBorder="1">
      <alignment vertical="center"/>
    </xf>
    <xf numFmtId="0" fontId="24" fillId="27" borderId="127" xfId="0" applyFont="1" applyFill="1" applyBorder="1">
      <alignment vertical="center"/>
    </xf>
    <xf numFmtId="0" fontId="24" fillId="54" borderId="116" xfId="0" applyFont="1" applyFill="1" applyBorder="1">
      <alignment vertical="center"/>
    </xf>
    <xf numFmtId="0" fontId="24" fillId="54" borderId="119" xfId="0" applyFont="1" applyFill="1" applyBorder="1">
      <alignment vertical="center"/>
    </xf>
    <xf numFmtId="0" fontId="31" fillId="54" borderId="106" xfId="0" applyFont="1" applyFill="1" applyBorder="1">
      <alignment vertical="center"/>
    </xf>
    <xf numFmtId="0" fontId="24" fillId="54" borderId="125" xfId="0" applyFont="1" applyFill="1" applyBorder="1">
      <alignment vertical="center"/>
    </xf>
    <xf numFmtId="0" fontId="24" fillId="55" borderId="108" xfId="0" applyFont="1" applyFill="1" applyBorder="1">
      <alignment vertical="center"/>
    </xf>
    <xf numFmtId="0" fontId="32" fillId="55" borderId="106" xfId="0" applyFont="1" applyFill="1" applyBorder="1">
      <alignment vertical="center"/>
    </xf>
    <xf numFmtId="0" fontId="31" fillId="85" borderId="86" xfId="0" applyFont="1" applyFill="1" applyBorder="1">
      <alignment vertical="center"/>
    </xf>
    <xf numFmtId="0" fontId="31" fillId="70" borderId="83" xfId="0" applyFont="1" applyFill="1" applyBorder="1">
      <alignment vertical="center"/>
    </xf>
    <xf numFmtId="0" fontId="31" fillId="70" borderId="86" xfId="0" applyFont="1" applyFill="1" applyBorder="1">
      <alignment vertical="center"/>
    </xf>
    <xf numFmtId="0" fontId="24" fillId="37" borderId="110" xfId="0" applyFont="1" applyFill="1" applyBorder="1">
      <alignment vertical="center"/>
    </xf>
    <xf numFmtId="0" fontId="24" fillId="37" borderId="119" xfId="0" applyFont="1" applyFill="1" applyBorder="1">
      <alignment vertical="center"/>
    </xf>
    <xf numFmtId="0" fontId="24" fillId="27" borderId="128" xfId="0" applyFont="1" applyFill="1" applyBorder="1">
      <alignment vertical="center"/>
    </xf>
    <xf numFmtId="0" fontId="24" fillId="51" borderId="129" xfId="0" applyFont="1" applyFill="1" applyBorder="1">
      <alignment vertical="center"/>
    </xf>
    <xf numFmtId="0" fontId="24" fillId="51" borderId="87" xfId="0" applyFont="1" applyFill="1" applyBorder="1">
      <alignment vertical="center"/>
    </xf>
    <xf numFmtId="0" fontId="24" fillId="51" borderId="130" xfId="0" applyFont="1" applyFill="1" applyBorder="1">
      <alignment vertical="center"/>
    </xf>
    <xf numFmtId="0" fontId="24" fillId="27" borderId="131" xfId="0" applyFont="1" applyFill="1" applyBorder="1">
      <alignment vertical="center"/>
    </xf>
    <xf numFmtId="0" fontId="24" fillId="37" borderId="123" xfId="0" applyFont="1" applyFill="1" applyBorder="1">
      <alignment vertical="center"/>
    </xf>
    <xf numFmtId="0" fontId="31" fillId="37" borderId="104" xfId="0" applyFont="1" applyFill="1" applyBorder="1">
      <alignment vertical="center"/>
    </xf>
    <xf numFmtId="0" fontId="24" fillId="37" borderId="129" xfId="0" applyFont="1" applyFill="1" applyBorder="1">
      <alignment vertical="center"/>
    </xf>
    <xf numFmtId="0" fontId="24" fillId="37" borderId="130" xfId="0" applyFont="1" applyFill="1" applyBorder="1">
      <alignment vertical="center"/>
    </xf>
    <xf numFmtId="0" fontId="24" fillId="31" borderId="116" xfId="0" applyFont="1" applyFill="1" applyBorder="1">
      <alignment vertical="center"/>
    </xf>
    <xf numFmtId="0" fontId="24" fillId="31" borderId="119" xfId="0" applyFont="1" applyFill="1" applyBorder="1">
      <alignment vertical="center"/>
    </xf>
    <xf numFmtId="0" fontId="31" fillId="80" borderId="115" xfId="0" applyFont="1" applyFill="1" applyBorder="1">
      <alignment vertical="center"/>
    </xf>
    <xf numFmtId="0" fontId="24" fillId="30" borderId="120" xfId="0" applyFont="1" applyFill="1" applyBorder="1">
      <alignment vertical="center"/>
    </xf>
    <xf numFmtId="0" fontId="24" fillId="30" borderId="119" xfId="0" applyFont="1" applyFill="1" applyBorder="1">
      <alignment vertical="center"/>
    </xf>
    <xf numFmtId="0" fontId="24" fillId="30" borderId="116" xfId="0" applyFont="1" applyFill="1" applyBorder="1">
      <alignment vertical="center"/>
    </xf>
    <xf numFmtId="0" fontId="24" fillId="30" borderId="121" xfId="0" applyFont="1" applyFill="1" applyBorder="1">
      <alignment vertical="center"/>
    </xf>
    <xf numFmtId="0" fontId="24" fillId="29" borderId="86" xfId="0" applyFont="1" applyFill="1" applyBorder="1">
      <alignment vertical="center"/>
    </xf>
    <xf numFmtId="0" fontId="24" fillId="29" borderId="89" xfId="0" applyFont="1" applyFill="1" applyBorder="1">
      <alignment vertical="center"/>
    </xf>
    <xf numFmtId="0" fontId="24" fillId="29" borderId="105" xfId="0" applyFont="1" applyFill="1" applyBorder="1">
      <alignment vertical="center"/>
    </xf>
    <xf numFmtId="0" fontId="24" fillId="29" borderId="116" xfId="0" applyFont="1" applyFill="1" applyBorder="1">
      <alignment vertical="center"/>
    </xf>
    <xf numFmtId="0" fontId="24" fillId="29" borderId="119" xfId="0" applyFont="1" applyFill="1" applyBorder="1">
      <alignment vertical="center"/>
    </xf>
    <xf numFmtId="0" fontId="24" fillId="29" borderId="122" xfId="0" applyFont="1" applyFill="1" applyBorder="1">
      <alignment vertical="center"/>
    </xf>
    <xf numFmtId="0" fontId="24" fillId="29" borderId="124" xfId="0" applyFont="1" applyFill="1" applyBorder="1">
      <alignment vertical="center"/>
    </xf>
    <xf numFmtId="0" fontId="24" fillId="47" borderId="135" xfId="0" applyFont="1" applyFill="1" applyBorder="1">
      <alignment vertical="center"/>
    </xf>
    <xf numFmtId="0" fontId="24" fillId="37" borderId="87" xfId="0" applyFont="1" applyFill="1" applyBorder="1">
      <alignment vertical="center"/>
    </xf>
    <xf numFmtId="0" fontId="24" fillId="29" borderId="85" xfId="0" applyFont="1" applyFill="1" applyBorder="1">
      <alignment vertical="center"/>
    </xf>
    <xf numFmtId="0" fontId="24" fillId="47" borderId="136" xfId="0" applyFont="1" applyFill="1" applyBorder="1">
      <alignment vertical="center"/>
    </xf>
    <xf numFmtId="0" fontId="24" fillId="47" borderId="137" xfId="0" applyFont="1" applyFill="1" applyBorder="1">
      <alignment vertical="center"/>
    </xf>
    <xf numFmtId="0" fontId="24" fillId="29" borderId="87" xfId="0" applyFont="1" applyFill="1" applyBorder="1">
      <alignment vertical="center"/>
    </xf>
    <xf numFmtId="0" fontId="24" fillId="17" borderId="139" xfId="0" applyFont="1" applyFill="1" applyBorder="1">
      <alignment vertical="center"/>
    </xf>
    <xf numFmtId="0" fontId="32" fillId="45" borderId="86" xfId="0" applyFont="1" applyFill="1" applyBorder="1">
      <alignment vertical="center"/>
    </xf>
    <xf numFmtId="0" fontId="24" fillId="31" borderId="105" xfId="0" applyFont="1" applyFill="1" applyBorder="1">
      <alignment vertical="center"/>
    </xf>
    <xf numFmtId="0" fontId="24" fillId="29" borderId="140" xfId="0" applyFont="1" applyFill="1" applyBorder="1">
      <alignment vertical="center"/>
    </xf>
    <xf numFmtId="0" fontId="24" fillId="29" borderId="141" xfId="0" applyFont="1" applyFill="1" applyBorder="1">
      <alignment vertical="center"/>
    </xf>
    <xf numFmtId="0" fontId="35" fillId="31" borderId="83" xfId="0" applyFont="1" applyFill="1" applyBorder="1">
      <alignment vertical="center"/>
    </xf>
    <xf numFmtId="0" fontId="24" fillId="28" borderId="86" xfId="0" applyFont="1" applyFill="1" applyBorder="1">
      <alignment vertical="center"/>
    </xf>
    <xf numFmtId="0" fontId="24" fillId="28" borderId="110" xfId="0" applyFont="1" applyFill="1" applyBorder="1">
      <alignment vertical="center"/>
    </xf>
    <xf numFmtId="0" fontId="24" fillId="38" borderId="107" xfId="0" applyFont="1" applyFill="1" applyBorder="1">
      <alignment vertical="center"/>
    </xf>
    <xf numFmtId="0" fontId="32" fillId="28" borderId="144" xfId="0" applyFont="1" applyFill="1" applyBorder="1">
      <alignment vertical="center"/>
    </xf>
    <xf numFmtId="0" fontId="24" fillId="28" borderId="83" xfId="0" applyFont="1" applyFill="1" applyBorder="1">
      <alignment vertical="center"/>
    </xf>
    <xf numFmtId="0" fontId="31" fillId="38" borderId="106" xfId="0" applyFont="1" applyFill="1" applyBorder="1">
      <alignment vertical="center"/>
    </xf>
    <xf numFmtId="0" fontId="24" fillId="28" borderId="146" xfId="0" applyFont="1" applyFill="1" applyBorder="1">
      <alignment vertical="center"/>
    </xf>
    <xf numFmtId="0" fontId="24" fillId="28" borderId="89" xfId="0" applyFont="1" applyFill="1" applyBorder="1">
      <alignment vertical="center"/>
    </xf>
    <xf numFmtId="0" fontId="32" fillId="81" borderId="115" xfId="0" applyFont="1" applyFill="1" applyBorder="1">
      <alignment vertical="center"/>
    </xf>
    <xf numFmtId="0" fontId="24" fillId="38" borderId="125" xfId="0" applyFont="1" applyFill="1" applyBorder="1">
      <alignment vertical="center"/>
    </xf>
    <xf numFmtId="0" fontId="24" fillId="28" borderId="84" xfId="0" applyFont="1" applyFill="1" applyBorder="1">
      <alignment vertical="center"/>
    </xf>
    <xf numFmtId="0" fontId="24" fillId="28" borderId="87" xfId="0" applyFont="1" applyFill="1" applyBorder="1">
      <alignment vertical="center"/>
    </xf>
    <xf numFmtId="0" fontId="24" fillId="28" borderId="90" xfId="0" applyFont="1" applyFill="1" applyBorder="1">
      <alignment vertical="center"/>
    </xf>
    <xf numFmtId="0" fontId="24" fillId="30" borderId="117" xfId="0" applyFont="1" applyFill="1" applyBorder="1">
      <alignment vertical="center"/>
    </xf>
    <xf numFmtId="0" fontId="24" fillId="29" borderId="129" xfId="0" applyFont="1" applyFill="1" applyBorder="1">
      <alignment vertical="center"/>
    </xf>
    <xf numFmtId="0" fontId="24" fillId="63" borderId="107" xfId="0" applyFont="1" applyFill="1" applyBorder="1">
      <alignment vertical="center"/>
    </xf>
    <xf numFmtId="0" fontId="24" fillId="63" borderId="108" xfId="0" applyFont="1" applyFill="1" applyBorder="1">
      <alignment vertical="center"/>
    </xf>
    <xf numFmtId="0" fontId="32" fillId="63" borderId="106" xfId="0" applyFont="1" applyFill="1" applyBorder="1">
      <alignment vertical="center"/>
    </xf>
    <xf numFmtId="0" fontId="24" fillId="29" borderId="130" xfId="0" applyFont="1" applyFill="1" applyBorder="1">
      <alignment vertical="center"/>
    </xf>
    <xf numFmtId="0" fontId="24" fillId="29" borderId="148" xfId="0" applyFont="1" applyFill="1" applyBorder="1">
      <alignment vertical="center"/>
    </xf>
    <xf numFmtId="0" fontId="24" fillId="47" borderId="110" xfId="0" applyFont="1" applyFill="1" applyBorder="1">
      <alignment vertical="center"/>
    </xf>
    <xf numFmtId="0" fontId="24" fillId="29" borderId="114" xfId="0" applyFont="1" applyFill="1" applyBorder="1">
      <alignment vertical="center"/>
    </xf>
    <xf numFmtId="0" fontId="24" fillId="29" borderId="117" xfId="0" applyFont="1" applyFill="1" applyBorder="1">
      <alignment vertical="center"/>
    </xf>
    <xf numFmtId="0" fontId="24" fillId="47" borderId="119" xfId="0" applyFont="1" applyFill="1" applyBorder="1">
      <alignment vertical="center"/>
    </xf>
    <xf numFmtId="0" fontId="24" fillId="47" borderId="123" xfId="0" applyFont="1" applyFill="1" applyBorder="1">
      <alignment vertical="center"/>
    </xf>
    <xf numFmtId="0" fontId="31" fillId="50" borderId="86" xfId="0" applyFont="1" applyFill="1" applyBorder="1">
      <alignment vertical="center"/>
    </xf>
    <xf numFmtId="0" fontId="24" fillId="30" borderId="128" xfId="0" applyFont="1" applyFill="1" applyBorder="1">
      <alignment vertical="center"/>
    </xf>
    <xf numFmtId="0" fontId="24" fillId="29" borderId="128" xfId="0" applyFont="1" applyFill="1" applyBorder="1">
      <alignment vertical="center"/>
    </xf>
    <xf numFmtId="0" fontId="24" fillId="47" borderId="149" xfId="0" applyFont="1" applyFill="1" applyBorder="1">
      <alignment vertical="center"/>
    </xf>
    <xf numFmtId="0" fontId="24" fillId="29" borderId="131" xfId="0" applyFont="1" applyFill="1" applyBorder="1">
      <alignment vertical="center"/>
    </xf>
    <xf numFmtId="0" fontId="24" fillId="30" borderId="131" xfId="0" applyFont="1" applyFill="1" applyBorder="1">
      <alignment vertical="center"/>
    </xf>
    <xf numFmtId="0" fontId="24" fillId="31" borderId="110" xfId="0" applyFont="1" applyFill="1" applyBorder="1">
      <alignment vertical="center"/>
    </xf>
    <xf numFmtId="0" fontId="24" fillId="31" borderId="122" xfId="0" applyFont="1" applyFill="1" applyBorder="1">
      <alignment vertical="center"/>
    </xf>
    <xf numFmtId="0" fontId="24" fillId="31" borderId="124" xfId="0" applyFont="1" applyFill="1" applyBorder="1">
      <alignment vertical="center"/>
    </xf>
    <xf numFmtId="0" fontId="33" fillId="31" borderId="104" xfId="0" applyFont="1" applyFill="1" applyBorder="1">
      <alignment vertical="center"/>
    </xf>
    <xf numFmtId="0" fontId="32" fillId="27" borderId="86" xfId="0" applyFont="1" applyFill="1" applyBorder="1">
      <alignment vertical="center"/>
    </xf>
    <xf numFmtId="0" fontId="24" fillId="17" borderId="150" xfId="0" applyFont="1" applyFill="1" applyBorder="1">
      <alignment vertical="center"/>
    </xf>
    <xf numFmtId="0" fontId="24" fillId="86" borderId="137" xfId="0" applyFont="1" applyFill="1" applyBorder="1">
      <alignment vertical="center"/>
    </xf>
    <xf numFmtId="0" fontId="31" fillId="86" borderId="136" xfId="0" applyFont="1" applyFill="1" applyBorder="1">
      <alignment vertical="center"/>
    </xf>
    <xf numFmtId="0" fontId="36" fillId="89" borderId="0" xfId="0" applyFont="1" applyFill="1">
      <alignment vertical="center"/>
    </xf>
    <xf numFmtId="0" fontId="24" fillId="21" borderId="82" xfId="0" applyFont="1" applyFill="1" applyBorder="1">
      <alignment vertical="center"/>
    </xf>
    <xf numFmtId="0" fontId="24" fillId="21" borderId="83" xfId="0" applyFont="1" applyFill="1" applyBorder="1">
      <alignment vertical="center"/>
    </xf>
    <xf numFmtId="0" fontId="24" fillId="21" borderId="84" xfId="0" applyFont="1" applyFill="1" applyBorder="1">
      <alignment vertical="center"/>
    </xf>
    <xf numFmtId="0" fontId="24" fillId="21" borderId="85" xfId="0" applyFont="1" applyFill="1" applyBorder="1">
      <alignment vertical="center"/>
    </xf>
    <xf numFmtId="0" fontId="24" fillId="21" borderId="86" xfId="0" applyFont="1" applyFill="1" applyBorder="1">
      <alignment vertical="center"/>
    </xf>
    <xf numFmtId="0" fontId="24" fillId="21" borderId="87" xfId="0" applyFont="1" applyFill="1" applyBorder="1">
      <alignment vertical="center"/>
    </xf>
    <xf numFmtId="0" fontId="24" fillId="21" borderId="88" xfId="0" applyFont="1" applyFill="1" applyBorder="1">
      <alignment vertical="center"/>
    </xf>
    <xf numFmtId="0" fontId="24" fillId="21" borderId="89" xfId="0" applyFont="1" applyFill="1" applyBorder="1">
      <alignment vertical="center"/>
    </xf>
    <xf numFmtId="0" fontId="24" fillId="21" borderId="90" xfId="0" applyFont="1" applyFill="1" applyBorder="1">
      <alignment vertical="center"/>
    </xf>
    <xf numFmtId="0" fontId="24" fillId="21" borderId="91" xfId="0" applyFont="1" applyFill="1" applyBorder="1">
      <alignment vertical="center"/>
    </xf>
    <xf numFmtId="0" fontId="24" fillId="21" borderId="92" xfId="0" applyFont="1" applyFill="1" applyBorder="1">
      <alignment vertical="center"/>
    </xf>
    <xf numFmtId="0" fontId="24" fillId="21" borderId="93" xfId="0" applyFont="1" applyFill="1" applyBorder="1">
      <alignment vertical="center"/>
    </xf>
    <xf numFmtId="0" fontId="24" fillId="21" borderId="95" xfId="0" applyFont="1" applyFill="1" applyBorder="1">
      <alignment vertical="center"/>
    </xf>
    <xf numFmtId="0" fontId="24" fillId="21" borderId="98" xfId="0" applyFont="1" applyFill="1" applyBorder="1">
      <alignment vertical="center"/>
    </xf>
    <xf numFmtId="0" fontId="24" fillId="21" borderId="100" xfId="0" applyFont="1" applyFill="1" applyBorder="1">
      <alignment vertical="center"/>
    </xf>
    <xf numFmtId="0" fontId="24" fillId="21" borderId="101" xfId="0" applyFont="1" applyFill="1" applyBorder="1">
      <alignment vertical="center"/>
    </xf>
    <xf numFmtId="0" fontId="24" fillId="21" borderId="102" xfId="0" applyFont="1" applyFill="1" applyBorder="1">
      <alignment vertical="center"/>
    </xf>
    <xf numFmtId="0" fontId="24" fillId="35" borderId="86" xfId="0" applyFont="1" applyFill="1" applyBorder="1">
      <alignment vertical="center"/>
    </xf>
    <xf numFmtId="0" fontId="24" fillId="21" borderId="103" xfId="0" applyFont="1" applyFill="1" applyBorder="1">
      <alignment vertical="center"/>
    </xf>
    <xf numFmtId="0" fontId="24" fillId="35" borderId="110" xfId="0" applyFont="1" applyFill="1" applyBorder="1">
      <alignment vertical="center"/>
    </xf>
    <xf numFmtId="0" fontId="24" fillId="35" borderId="104" xfId="0" applyFont="1" applyFill="1" applyBorder="1">
      <alignment vertical="center"/>
    </xf>
    <xf numFmtId="0" fontId="24" fillId="35" borderId="105" xfId="0" applyFont="1" applyFill="1" applyBorder="1">
      <alignment vertical="center"/>
    </xf>
    <xf numFmtId="0" fontId="24" fillId="35" borderId="119" xfId="0" applyFont="1" applyFill="1" applyBorder="1">
      <alignment vertical="center"/>
    </xf>
    <xf numFmtId="0" fontId="24" fillId="35" borderId="116" xfId="0" applyFont="1" applyFill="1" applyBorder="1">
      <alignment vertical="center"/>
    </xf>
    <xf numFmtId="0" fontId="24" fillId="35" borderId="122" xfId="0" applyFont="1" applyFill="1" applyBorder="1">
      <alignment vertical="center"/>
    </xf>
    <xf numFmtId="0" fontId="24" fillId="35" borderId="124" xfId="0" applyFont="1" applyFill="1" applyBorder="1">
      <alignment vertical="center"/>
    </xf>
    <xf numFmtId="0" fontId="31" fillId="35" borderId="104" xfId="0" applyFont="1" applyFill="1" applyBorder="1">
      <alignment vertical="center"/>
    </xf>
    <xf numFmtId="0" fontId="24" fillId="21" borderId="109" xfId="0" applyFont="1" applyFill="1" applyBorder="1">
      <alignment vertical="center"/>
    </xf>
    <xf numFmtId="0" fontId="24" fillId="35" borderId="83" xfId="0" applyFont="1" applyFill="1" applyBorder="1">
      <alignment vertical="center"/>
    </xf>
    <xf numFmtId="0" fontId="24" fillId="35" borderId="89" xfId="0" applyFont="1" applyFill="1" applyBorder="1">
      <alignment vertical="center"/>
    </xf>
    <xf numFmtId="0" fontId="24" fillId="35" borderId="146" xfId="0" applyFont="1" applyFill="1" applyBorder="1">
      <alignment vertical="center"/>
    </xf>
    <xf numFmtId="0" fontId="31" fillId="35" borderId="144" xfId="0" applyFont="1" applyFill="1" applyBorder="1">
      <alignment vertical="center"/>
    </xf>
    <xf numFmtId="0" fontId="24" fillId="35" borderId="123" xfId="0" applyFont="1" applyFill="1" applyBorder="1">
      <alignment vertical="center"/>
    </xf>
    <xf numFmtId="0" fontId="24" fillId="35" borderId="147" xfId="0" applyFont="1" applyFill="1" applyBorder="1">
      <alignment vertical="center"/>
    </xf>
    <xf numFmtId="0" fontId="24" fillId="35" borderId="145" xfId="0" applyFont="1" applyFill="1" applyBorder="1">
      <alignment vertical="center"/>
    </xf>
    <xf numFmtId="0" fontId="24" fillId="39" borderId="86" xfId="0" applyFont="1" applyFill="1" applyBorder="1">
      <alignment vertical="center"/>
    </xf>
    <xf numFmtId="0" fontId="24" fillId="39" borderId="110" xfId="0" applyFont="1" applyFill="1" applyBorder="1">
      <alignment vertical="center"/>
    </xf>
    <xf numFmtId="0" fontId="24" fillId="39" borderId="105" xfId="0" applyFont="1" applyFill="1" applyBorder="1">
      <alignment vertical="center"/>
    </xf>
    <xf numFmtId="0" fontId="24" fillId="39" borderId="119" xfId="0" applyFont="1" applyFill="1" applyBorder="1">
      <alignment vertical="center"/>
    </xf>
    <xf numFmtId="0" fontId="24" fillId="39" borderId="116" xfId="0" applyFont="1" applyFill="1" applyBorder="1">
      <alignment vertical="center"/>
    </xf>
    <xf numFmtId="0" fontId="24" fillId="39" borderId="122" xfId="0" applyFont="1" applyFill="1" applyBorder="1">
      <alignment vertical="center"/>
    </xf>
    <xf numFmtId="0" fontId="24" fillId="39" borderId="123" xfId="0" applyFont="1" applyFill="1" applyBorder="1">
      <alignment vertical="center"/>
    </xf>
    <xf numFmtId="0" fontId="24" fillId="39" borderId="124" xfId="0" applyFont="1" applyFill="1" applyBorder="1">
      <alignment vertical="center"/>
    </xf>
    <xf numFmtId="0" fontId="31" fillId="39" borderId="104" xfId="0" applyFont="1" applyFill="1" applyBorder="1">
      <alignment vertical="center"/>
    </xf>
    <xf numFmtId="0" fontId="24" fillId="71" borderId="86" xfId="0" applyFont="1" applyFill="1" applyBorder="1">
      <alignment vertical="center"/>
    </xf>
    <xf numFmtId="0" fontId="24" fillId="71" borderId="110" xfId="0" applyFont="1" applyFill="1" applyBorder="1">
      <alignment vertical="center"/>
    </xf>
    <xf numFmtId="0" fontId="24" fillId="71" borderId="105" xfId="0" applyFont="1" applyFill="1" applyBorder="1">
      <alignment vertical="center"/>
    </xf>
    <xf numFmtId="0" fontId="24" fillId="71" borderId="119" xfId="0" applyFont="1" applyFill="1" applyBorder="1">
      <alignment vertical="center"/>
    </xf>
    <xf numFmtId="0" fontId="24" fillId="71" borderId="116" xfId="0" applyFont="1" applyFill="1" applyBorder="1">
      <alignment vertical="center"/>
    </xf>
    <xf numFmtId="0" fontId="24" fillId="71" borderId="122" xfId="0" applyFont="1" applyFill="1" applyBorder="1">
      <alignment vertical="center"/>
    </xf>
    <xf numFmtId="0" fontId="24" fillId="71" borderId="124" xfId="0" applyFont="1" applyFill="1" applyBorder="1">
      <alignment vertical="center"/>
    </xf>
    <xf numFmtId="0" fontId="32" fillId="71" borderId="104" xfId="0" applyFont="1" applyFill="1" applyBorder="1">
      <alignment vertical="center"/>
    </xf>
    <xf numFmtId="0" fontId="24" fillId="56" borderId="86" xfId="0" applyFont="1" applyFill="1" applyBorder="1">
      <alignment vertical="center"/>
    </xf>
    <xf numFmtId="0" fontId="24" fillId="56" borderId="110" xfId="0" applyFont="1" applyFill="1" applyBorder="1">
      <alignment vertical="center"/>
    </xf>
    <xf numFmtId="0" fontId="24" fillId="56" borderId="105" xfId="0" applyFont="1" applyFill="1" applyBorder="1">
      <alignment vertical="center"/>
    </xf>
    <xf numFmtId="0" fontId="24" fillId="56" borderId="119" xfId="0" applyFont="1" applyFill="1" applyBorder="1">
      <alignment vertical="center"/>
    </xf>
    <xf numFmtId="0" fontId="24" fillId="56" borderId="116" xfId="0" applyFont="1" applyFill="1" applyBorder="1">
      <alignment vertical="center"/>
    </xf>
    <xf numFmtId="0" fontId="24" fillId="56" borderId="122" xfId="0" applyFont="1" applyFill="1" applyBorder="1">
      <alignment vertical="center"/>
    </xf>
    <xf numFmtId="0" fontId="24" fillId="56" borderId="123" xfId="0" applyFont="1" applyFill="1" applyBorder="1">
      <alignment vertical="center"/>
    </xf>
    <xf numFmtId="0" fontId="24" fillId="56" borderId="124" xfId="0" applyFont="1" applyFill="1" applyBorder="1">
      <alignment vertical="center"/>
    </xf>
    <xf numFmtId="0" fontId="31" fillId="56" borderId="104" xfId="0" applyFont="1" applyFill="1" applyBorder="1">
      <alignment vertical="center"/>
    </xf>
    <xf numFmtId="0" fontId="32" fillId="45" borderId="89" xfId="0" applyFont="1" applyFill="1" applyBorder="1">
      <alignment vertical="center"/>
    </xf>
    <xf numFmtId="0" fontId="31" fillId="60" borderId="85" xfId="0" applyFont="1" applyFill="1" applyBorder="1">
      <alignment vertical="center"/>
    </xf>
    <xf numFmtId="0" fontId="32" fillId="79" borderId="105" xfId="0" applyFont="1" applyFill="1" applyBorder="1">
      <alignment vertical="center"/>
    </xf>
    <xf numFmtId="0" fontId="24" fillId="21" borderId="143" xfId="0" applyFont="1" applyFill="1" applyBorder="1">
      <alignment vertical="center"/>
    </xf>
    <xf numFmtId="0" fontId="24" fillId="21" borderId="150" xfId="0" applyFont="1" applyFill="1" applyBorder="1">
      <alignment vertical="center"/>
    </xf>
    <xf numFmtId="0" fontId="24" fillId="47" borderId="122" xfId="0" applyFont="1" applyFill="1" applyBorder="1">
      <alignment vertical="center"/>
    </xf>
    <xf numFmtId="0" fontId="24" fillId="47" borderId="124" xfId="0" applyFont="1" applyFill="1" applyBorder="1">
      <alignment vertical="center"/>
    </xf>
    <xf numFmtId="0" fontId="31" fillId="47" borderId="104" xfId="0" applyFont="1" applyFill="1" applyBorder="1">
      <alignment vertical="center"/>
    </xf>
    <xf numFmtId="0" fontId="24" fillId="21" borderId="152" xfId="0" applyFont="1" applyFill="1" applyBorder="1">
      <alignment vertical="center"/>
    </xf>
    <xf numFmtId="0" fontId="24" fillId="35" borderId="107" xfId="0" applyFont="1" applyFill="1" applyBorder="1">
      <alignment vertical="center"/>
    </xf>
    <xf numFmtId="0" fontId="24" fillId="35" borderId="108" xfId="0" applyFont="1" applyFill="1" applyBorder="1">
      <alignment vertical="center"/>
    </xf>
    <xf numFmtId="0" fontId="31" fillId="35" borderId="106" xfId="0" applyFont="1" applyFill="1" applyBorder="1">
      <alignment vertical="center"/>
    </xf>
    <xf numFmtId="0" fontId="24" fillId="35" borderId="125" xfId="0" applyFont="1" applyFill="1" applyBorder="1">
      <alignment vertical="center"/>
    </xf>
    <xf numFmtId="0" fontId="31" fillId="35" borderId="153" xfId="0" applyFont="1" applyFill="1" applyBorder="1">
      <alignment vertical="center"/>
    </xf>
    <xf numFmtId="0" fontId="24" fillId="36" borderId="83" xfId="0" applyFont="1" applyFill="1" applyBorder="1">
      <alignment vertical="center"/>
    </xf>
    <xf numFmtId="0" fontId="24" fillId="36" borderId="86" xfId="0" applyFont="1" applyFill="1" applyBorder="1">
      <alignment vertical="center"/>
    </xf>
    <xf numFmtId="0" fontId="24" fillId="36" borderId="105" xfId="0" applyFont="1" applyFill="1" applyBorder="1">
      <alignment vertical="center"/>
    </xf>
    <xf numFmtId="0" fontId="32" fillId="43" borderId="114" xfId="0" applyFont="1" applyFill="1" applyBorder="1">
      <alignment vertical="center"/>
    </xf>
    <xf numFmtId="0" fontId="24" fillId="43" borderId="115" xfId="0" applyFont="1" applyFill="1" applyBorder="1">
      <alignment vertical="center"/>
    </xf>
    <xf numFmtId="0" fontId="24" fillId="43" borderId="120" xfId="0" applyFont="1" applyFill="1" applyBorder="1">
      <alignment vertical="center"/>
    </xf>
    <xf numFmtId="0" fontId="24" fillId="36" borderId="110" xfId="0" applyFont="1" applyFill="1" applyBorder="1">
      <alignment vertical="center"/>
    </xf>
    <xf numFmtId="0" fontId="24" fillId="36" borderId="119" xfId="0" applyFont="1" applyFill="1" applyBorder="1">
      <alignment vertical="center"/>
    </xf>
    <xf numFmtId="0" fontId="24" fillId="36" borderId="116" xfId="0" applyFont="1" applyFill="1" applyBorder="1">
      <alignment vertical="center"/>
    </xf>
    <xf numFmtId="0" fontId="24" fillId="36" borderId="122" xfId="0" applyFont="1" applyFill="1" applyBorder="1">
      <alignment vertical="center"/>
    </xf>
    <xf numFmtId="0" fontId="24" fillId="36" borderId="123" xfId="0" applyFont="1" applyFill="1" applyBorder="1">
      <alignment vertical="center"/>
    </xf>
    <xf numFmtId="0" fontId="24" fillId="36" borderId="124" xfId="0" applyFont="1" applyFill="1" applyBorder="1">
      <alignment vertical="center"/>
    </xf>
    <xf numFmtId="0" fontId="31" fillId="36" borderId="104" xfId="0" applyFont="1" applyFill="1" applyBorder="1">
      <alignment vertical="center"/>
    </xf>
    <xf numFmtId="0" fontId="24" fillId="36" borderId="146" xfId="0" applyFont="1" applyFill="1" applyBorder="1">
      <alignment vertical="center"/>
    </xf>
    <xf numFmtId="0" fontId="24" fillId="36" borderId="89" xfId="0" applyFont="1" applyFill="1" applyBorder="1">
      <alignment vertical="center"/>
    </xf>
    <xf numFmtId="0" fontId="24" fillId="36" borderId="147" xfId="0" applyFont="1" applyFill="1" applyBorder="1">
      <alignment vertical="center"/>
    </xf>
    <xf numFmtId="0" fontId="24" fillId="58" borderId="119" xfId="0" applyFont="1" applyFill="1" applyBorder="1">
      <alignment vertical="center"/>
    </xf>
    <xf numFmtId="0" fontId="31" fillId="56" borderId="141" xfId="0" applyFont="1" applyFill="1" applyBorder="1">
      <alignment vertical="center"/>
    </xf>
    <xf numFmtId="0" fontId="24" fillId="56" borderId="85" xfId="0" applyFont="1" applyFill="1" applyBorder="1">
      <alignment vertical="center"/>
    </xf>
    <xf numFmtId="0" fontId="24" fillId="56" borderId="148" xfId="0" applyFont="1" applyFill="1" applyBorder="1">
      <alignment vertical="center"/>
    </xf>
    <xf numFmtId="0" fontId="24" fillId="58" borderId="135" xfId="0" applyFont="1" applyFill="1" applyBorder="1">
      <alignment vertical="center"/>
    </xf>
    <xf numFmtId="0" fontId="24" fillId="58" borderId="137" xfId="0" applyFont="1" applyFill="1" applyBorder="1">
      <alignment vertical="center"/>
    </xf>
    <xf numFmtId="0" fontId="31" fillId="58" borderId="136" xfId="0" applyFont="1" applyFill="1" applyBorder="1">
      <alignment vertical="center"/>
    </xf>
    <xf numFmtId="0" fontId="32" fillId="79" borderId="89" xfId="0" applyFont="1" applyFill="1" applyBorder="1">
      <alignment vertical="center"/>
    </xf>
    <xf numFmtId="0" fontId="24" fillId="42" borderId="86" xfId="0" applyFont="1" applyFill="1" applyBorder="1">
      <alignment vertical="center"/>
    </xf>
    <xf numFmtId="0" fontId="24" fillId="42" borderId="105" xfId="0" applyFont="1" applyFill="1" applyBorder="1">
      <alignment vertical="center"/>
    </xf>
    <xf numFmtId="0" fontId="24" fillId="21" borderId="132" xfId="0" applyFont="1" applyFill="1" applyBorder="1">
      <alignment vertical="center"/>
    </xf>
    <xf numFmtId="0" fontId="24" fillId="21" borderId="133" xfId="0" applyFont="1" applyFill="1" applyBorder="1">
      <alignment vertical="center"/>
    </xf>
    <xf numFmtId="0" fontId="24" fillId="35" borderId="115" xfId="0" applyFont="1" applyFill="1" applyBorder="1">
      <alignment vertical="center"/>
    </xf>
    <xf numFmtId="0" fontId="24" fillId="42" borderId="110" xfId="0" applyFont="1" applyFill="1" applyBorder="1">
      <alignment vertical="center"/>
    </xf>
    <xf numFmtId="0" fontId="24" fillId="42" borderId="119" xfId="0" applyFont="1" applyFill="1" applyBorder="1">
      <alignment vertical="center"/>
    </xf>
    <xf numFmtId="0" fontId="24" fillId="42" borderId="116" xfId="0" applyFont="1" applyFill="1" applyBorder="1">
      <alignment vertical="center"/>
    </xf>
    <xf numFmtId="0" fontId="24" fillId="42" borderId="122" xfId="0" applyFont="1" applyFill="1" applyBorder="1">
      <alignment vertical="center"/>
    </xf>
    <xf numFmtId="0" fontId="24" fillId="42" borderId="123" xfId="0" applyFont="1" applyFill="1" applyBorder="1">
      <alignment vertical="center"/>
    </xf>
    <xf numFmtId="0" fontId="24" fillId="42" borderId="124" xfId="0" applyFont="1" applyFill="1" applyBorder="1">
      <alignment vertical="center"/>
    </xf>
    <xf numFmtId="0" fontId="31" fillId="42" borderId="104" xfId="0" applyFont="1" applyFill="1" applyBorder="1">
      <alignment vertical="center"/>
    </xf>
    <xf numFmtId="0" fontId="24" fillId="36" borderId="87" xfId="0" applyFont="1" applyFill="1" applyBorder="1">
      <alignment vertical="center"/>
    </xf>
    <xf numFmtId="0" fontId="24" fillId="21" borderId="155" xfId="0" applyFont="1" applyFill="1" applyBorder="1">
      <alignment vertical="center"/>
    </xf>
    <xf numFmtId="0" fontId="34" fillId="31" borderId="106" xfId="0" applyFont="1" applyFill="1" applyBorder="1">
      <alignment vertical="center"/>
    </xf>
    <xf numFmtId="0" fontId="24" fillId="59" borderId="105" xfId="0" applyFont="1" applyFill="1" applyBorder="1">
      <alignment vertical="center"/>
    </xf>
    <xf numFmtId="0" fontId="24" fillId="35" borderId="129" xfId="0" applyFont="1" applyFill="1" applyBorder="1">
      <alignment vertical="center"/>
    </xf>
    <xf numFmtId="0" fontId="24" fillId="35" borderId="141" xfId="0" applyFont="1" applyFill="1" applyBorder="1">
      <alignment vertical="center"/>
    </xf>
    <xf numFmtId="0" fontId="24" fillId="35" borderId="118" xfId="0" applyFont="1" applyFill="1" applyBorder="1">
      <alignment vertical="center"/>
    </xf>
    <xf numFmtId="0" fontId="24" fillId="59" borderId="107" xfId="0" applyFont="1" applyFill="1" applyBorder="1">
      <alignment vertical="center"/>
    </xf>
    <xf numFmtId="0" fontId="24" fillId="59" borderId="108" xfId="0" applyFont="1" applyFill="1" applyBorder="1">
      <alignment vertical="center"/>
    </xf>
    <xf numFmtId="0" fontId="31" fillId="59" borderId="106" xfId="0" applyFont="1" applyFill="1" applyBorder="1">
      <alignment vertical="center"/>
    </xf>
    <xf numFmtId="0" fontId="24" fillId="44" borderId="83" xfId="0" applyFont="1" applyFill="1" applyBorder="1">
      <alignment vertical="center"/>
    </xf>
    <xf numFmtId="0" fontId="24" fillId="44" borderId="86" xfId="0" applyFont="1" applyFill="1" applyBorder="1">
      <alignment vertical="center"/>
    </xf>
    <xf numFmtId="0" fontId="24" fillId="44" borderId="105" xfId="0" applyFont="1" applyFill="1" applyBorder="1">
      <alignment vertical="center"/>
    </xf>
    <xf numFmtId="0" fontId="24" fillId="56" borderId="89" xfId="0" applyFont="1" applyFill="1" applyBorder="1">
      <alignment vertical="center"/>
    </xf>
    <xf numFmtId="0" fontId="24" fillId="44" borderId="110" xfId="0" applyFont="1" applyFill="1" applyBorder="1">
      <alignment vertical="center"/>
    </xf>
    <xf numFmtId="0" fontId="24" fillId="44" borderId="119" xfId="0" applyFont="1" applyFill="1" applyBorder="1">
      <alignment vertical="center"/>
    </xf>
    <xf numFmtId="0" fontId="24" fillId="44" borderId="116" xfId="0" applyFont="1" applyFill="1" applyBorder="1">
      <alignment vertical="center"/>
    </xf>
    <xf numFmtId="0" fontId="24" fillId="44" borderId="122" xfId="0" applyFont="1" applyFill="1" applyBorder="1">
      <alignment vertical="center"/>
    </xf>
    <xf numFmtId="0" fontId="24" fillId="44" borderId="123" xfId="0" applyFont="1" applyFill="1" applyBorder="1">
      <alignment vertical="center"/>
    </xf>
    <xf numFmtId="0" fontId="24" fillId="44" borderId="124" xfId="0" applyFont="1" applyFill="1" applyBorder="1">
      <alignment vertical="center"/>
    </xf>
    <xf numFmtId="0" fontId="32" fillId="44" borderId="104" xfId="0" applyFont="1" applyFill="1" applyBorder="1">
      <alignment vertical="center"/>
    </xf>
    <xf numFmtId="0" fontId="24" fillId="57" borderId="86" xfId="0" applyFont="1" applyFill="1" applyBorder="1">
      <alignment vertical="center"/>
    </xf>
    <xf numFmtId="0" fontId="24" fillId="57" borderId="110" xfId="0" applyFont="1" applyFill="1" applyBorder="1">
      <alignment vertical="center"/>
    </xf>
    <xf numFmtId="0" fontId="24" fillId="57" borderId="105" xfId="0" applyFont="1" applyFill="1" applyBorder="1">
      <alignment vertical="center"/>
    </xf>
    <xf numFmtId="0" fontId="24" fillId="57" borderId="119" xfId="0" applyFont="1" applyFill="1" applyBorder="1">
      <alignment vertical="center"/>
    </xf>
    <xf numFmtId="0" fontId="24" fillId="57" borderId="116" xfId="0" applyFont="1" applyFill="1" applyBorder="1">
      <alignment vertical="center"/>
    </xf>
    <xf numFmtId="0" fontId="24" fillId="57" borderId="122" xfId="0" applyFont="1" applyFill="1" applyBorder="1">
      <alignment vertical="center"/>
    </xf>
    <xf numFmtId="0" fontId="24" fillId="57" borderId="123" xfId="0" applyFont="1" applyFill="1" applyBorder="1">
      <alignment vertical="center"/>
    </xf>
    <xf numFmtId="0" fontId="24" fillId="57" borderId="124" xfId="0" applyFont="1" applyFill="1" applyBorder="1">
      <alignment vertical="center"/>
    </xf>
    <xf numFmtId="0" fontId="32" fillId="57" borderId="104" xfId="0" applyFont="1" applyFill="1" applyBorder="1">
      <alignment vertical="center"/>
    </xf>
    <xf numFmtId="0" fontId="32" fillId="79" borderId="86" xfId="0" applyFont="1" applyFill="1" applyBorder="1">
      <alignment vertical="center"/>
    </xf>
    <xf numFmtId="0" fontId="24" fillId="71" borderId="108" xfId="0" applyFont="1" applyFill="1" applyBorder="1">
      <alignment vertical="center"/>
    </xf>
    <xf numFmtId="0" fontId="32" fillId="71" borderId="106" xfId="0" applyFont="1" applyFill="1" applyBorder="1">
      <alignment vertical="center"/>
    </xf>
    <xf numFmtId="0" fontId="31" fillId="8" borderId="86" xfId="0" applyFont="1" applyFill="1" applyBorder="1">
      <alignment vertical="center"/>
    </xf>
    <xf numFmtId="0" fontId="24" fillId="43" borderId="135" xfId="0" applyFont="1" applyFill="1" applyBorder="1">
      <alignment vertical="center"/>
    </xf>
    <xf numFmtId="0" fontId="24" fillId="43" borderId="137" xfId="0" applyFont="1" applyFill="1" applyBorder="1">
      <alignment vertical="center"/>
    </xf>
    <xf numFmtId="0" fontId="32" fillId="43" borderId="136" xfId="0" applyFont="1" applyFill="1" applyBorder="1">
      <alignment vertical="center"/>
    </xf>
    <xf numFmtId="0" fontId="24" fillId="21" borderId="134" xfId="0" applyFont="1" applyFill="1" applyBorder="1">
      <alignment vertical="center"/>
    </xf>
    <xf numFmtId="0" fontId="31" fillId="47" borderId="136" xfId="0" applyFont="1" applyFill="1" applyBorder="1">
      <alignment vertical="center"/>
    </xf>
    <xf numFmtId="0" fontId="24" fillId="21" borderId="156" xfId="0" applyFont="1" applyFill="1" applyBorder="1">
      <alignment vertical="center"/>
    </xf>
    <xf numFmtId="0" fontId="32" fillId="79" borderId="83" xfId="0" applyFont="1" applyFill="1" applyBorder="1">
      <alignment vertical="center"/>
    </xf>
    <xf numFmtId="0" fontId="24" fillId="36" borderId="85" xfId="0" applyFont="1" applyFill="1" applyBorder="1">
      <alignment vertical="center"/>
    </xf>
    <xf numFmtId="0" fontId="24" fillId="35" borderId="130" xfId="0" applyFont="1" applyFill="1" applyBorder="1">
      <alignment vertical="center"/>
    </xf>
    <xf numFmtId="0" fontId="24" fillId="17" borderId="110" xfId="0" applyFont="1" applyFill="1" applyBorder="1">
      <alignment vertical="center"/>
    </xf>
    <xf numFmtId="0" fontId="24" fillId="17" borderId="123" xfId="0" applyFont="1" applyFill="1" applyBorder="1">
      <alignment vertical="center"/>
    </xf>
    <xf numFmtId="0" fontId="24" fillId="36" borderId="144" xfId="0" applyFont="1" applyFill="1" applyBorder="1">
      <alignment vertical="center"/>
    </xf>
    <xf numFmtId="0" fontId="24" fillId="36" borderId="145" xfId="0" applyFont="1" applyFill="1" applyBorder="1">
      <alignment vertical="center"/>
    </xf>
    <xf numFmtId="0" fontId="24" fillId="17" borderId="105" xfId="0" applyFont="1" applyFill="1" applyBorder="1">
      <alignment vertical="center"/>
    </xf>
    <xf numFmtId="0" fontId="24" fillId="17" borderId="122" xfId="0" applyFont="1" applyFill="1" applyBorder="1">
      <alignment vertical="center"/>
    </xf>
    <xf numFmtId="0" fontId="24" fillId="17" borderId="119" xfId="0" applyFont="1" applyFill="1" applyBorder="1">
      <alignment vertical="center"/>
    </xf>
    <xf numFmtId="0" fontId="24" fillId="17" borderId="116" xfId="0" applyFont="1" applyFill="1" applyBorder="1">
      <alignment vertical="center"/>
    </xf>
    <xf numFmtId="0" fontId="24" fillId="17" borderId="124" xfId="0" applyFont="1" applyFill="1" applyBorder="1">
      <alignment vertical="center"/>
    </xf>
    <xf numFmtId="0" fontId="32" fillId="17" borderId="104" xfId="0" applyFont="1" applyFill="1" applyBorder="1">
      <alignment vertical="center"/>
    </xf>
    <xf numFmtId="0" fontId="24" fillId="46" borderId="119" xfId="0" applyFont="1" applyFill="1" applyBorder="1">
      <alignment vertical="center"/>
    </xf>
    <xf numFmtId="0" fontId="24" fillId="46" borderId="116" xfId="0" applyFont="1" applyFill="1" applyBorder="1">
      <alignment vertical="center"/>
    </xf>
    <xf numFmtId="0" fontId="24" fillId="46" borderId="124" xfId="0" applyFont="1" applyFill="1" applyBorder="1">
      <alignment vertical="center"/>
    </xf>
    <xf numFmtId="0" fontId="32" fillId="17" borderId="144" xfId="0" applyFont="1" applyFill="1" applyBorder="1">
      <alignment vertical="center"/>
    </xf>
    <xf numFmtId="0" fontId="24" fillId="17" borderId="145" xfId="0" applyFont="1" applyFill="1" applyBorder="1">
      <alignment vertical="center"/>
    </xf>
    <xf numFmtId="0" fontId="24" fillId="46" borderId="107" xfId="0" applyFont="1" applyFill="1" applyBorder="1">
      <alignment vertical="center"/>
    </xf>
    <xf numFmtId="0" fontId="24" fillId="46" borderId="108" xfId="0" applyFont="1" applyFill="1" applyBorder="1">
      <alignment vertical="center"/>
    </xf>
    <xf numFmtId="0" fontId="32" fillId="46" borderId="106" xfId="0" applyFont="1" applyFill="1" applyBorder="1">
      <alignment vertical="center"/>
    </xf>
    <xf numFmtId="0" fontId="24" fillId="46" borderId="105" xfId="0" applyFont="1" applyFill="1" applyBorder="1">
      <alignment vertical="center"/>
    </xf>
    <xf numFmtId="0" fontId="24" fillId="46" borderId="122" xfId="0" applyFont="1" applyFill="1" applyBorder="1">
      <alignment vertical="center"/>
    </xf>
    <xf numFmtId="0" fontId="24" fillId="17" borderId="146" xfId="0" applyFont="1" applyFill="1" applyBorder="1">
      <alignment vertical="center"/>
    </xf>
    <xf numFmtId="0" fontId="24" fillId="36" borderId="90" xfId="0" applyFont="1" applyFill="1" applyBorder="1">
      <alignment vertical="center"/>
    </xf>
    <xf numFmtId="0" fontId="24" fillId="46" borderId="125" xfId="0" applyFont="1" applyFill="1" applyBorder="1">
      <alignment vertical="center"/>
    </xf>
    <xf numFmtId="0" fontId="24" fillId="36" borderId="84" xfId="0" applyFont="1" applyFill="1" applyBorder="1">
      <alignment vertical="center"/>
    </xf>
    <xf numFmtId="0" fontId="24" fillId="22" borderId="82" xfId="0" applyFont="1" applyFill="1" applyBorder="1">
      <alignment vertical="center"/>
    </xf>
    <xf numFmtId="0" fontId="24" fillId="22" borderId="83" xfId="0" applyFont="1" applyFill="1" applyBorder="1">
      <alignment vertical="center"/>
    </xf>
    <xf numFmtId="0" fontId="24" fillId="22" borderId="84" xfId="0" applyFont="1" applyFill="1" applyBorder="1">
      <alignment vertical="center"/>
    </xf>
    <xf numFmtId="0" fontId="24" fillId="22" borderId="85" xfId="0" applyFont="1" applyFill="1" applyBorder="1">
      <alignment vertical="center"/>
    </xf>
    <xf numFmtId="0" fontId="24" fillId="22" borderId="86" xfId="0" applyFont="1" applyFill="1" applyBorder="1">
      <alignment vertical="center"/>
    </xf>
    <xf numFmtId="0" fontId="24" fillId="22" borderId="87" xfId="0" applyFont="1" applyFill="1" applyBorder="1">
      <alignment vertical="center"/>
    </xf>
    <xf numFmtId="0" fontId="24" fillId="22" borderId="88" xfId="0" applyFont="1" applyFill="1" applyBorder="1">
      <alignment vertical="center"/>
    </xf>
    <xf numFmtId="0" fontId="24" fillId="22" borderId="89" xfId="0" applyFont="1" applyFill="1" applyBorder="1">
      <alignment vertical="center"/>
    </xf>
    <xf numFmtId="0" fontId="24" fillId="22" borderId="90" xfId="0" applyFont="1" applyFill="1" applyBorder="1">
      <alignment vertical="center"/>
    </xf>
    <xf numFmtId="0" fontId="24" fillId="22" borderId="91" xfId="0" applyFont="1" applyFill="1" applyBorder="1">
      <alignment vertical="center"/>
    </xf>
    <xf numFmtId="0" fontId="24" fillId="22" borderId="92" xfId="0" applyFont="1" applyFill="1" applyBorder="1">
      <alignment vertical="center"/>
    </xf>
    <xf numFmtId="0" fontId="24" fillId="22" borderId="94" xfId="0" applyFont="1" applyFill="1" applyBorder="1">
      <alignment vertical="center"/>
    </xf>
    <xf numFmtId="0" fontId="24" fillId="22" borderId="95" xfId="0" applyFont="1" applyFill="1" applyBorder="1">
      <alignment vertical="center"/>
    </xf>
    <xf numFmtId="0" fontId="24" fillId="22" borderId="96" xfId="0" applyFont="1" applyFill="1" applyBorder="1">
      <alignment vertical="center"/>
    </xf>
    <xf numFmtId="0" fontId="24" fillId="22" borderId="97" xfId="0" applyFont="1" applyFill="1" applyBorder="1">
      <alignment vertical="center"/>
    </xf>
    <xf numFmtId="0" fontId="24" fillId="22" borderId="98" xfId="0" applyFont="1" applyFill="1" applyBorder="1">
      <alignment vertical="center"/>
    </xf>
    <xf numFmtId="0" fontId="24" fillId="22" borderId="99" xfId="0" applyFont="1" applyFill="1" applyBorder="1">
      <alignment vertical="center"/>
    </xf>
    <xf numFmtId="0" fontId="24" fillId="22" borderId="100" xfId="0" applyFont="1" applyFill="1" applyBorder="1">
      <alignment vertical="center"/>
    </xf>
    <xf numFmtId="0" fontId="24" fillId="22" borderId="101" xfId="0" applyFont="1" applyFill="1" applyBorder="1">
      <alignment vertical="center"/>
    </xf>
    <xf numFmtId="0" fontId="24" fillId="22" borderId="102" xfId="0" applyFont="1" applyFill="1" applyBorder="1">
      <alignment vertical="center"/>
    </xf>
    <xf numFmtId="0" fontId="24" fillId="22" borderId="152" xfId="0" applyFont="1" applyFill="1" applyBorder="1">
      <alignment vertical="center"/>
    </xf>
    <xf numFmtId="0" fontId="24" fillId="38" borderId="86" xfId="0" applyFont="1" applyFill="1" applyBorder="1">
      <alignment vertical="center"/>
    </xf>
    <xf numFmtId="0" fontId="24" fillId="38" borderId="110" xfId="0" applyFont="1" applyFill="1" applyBorder="1">
      <alignment vertical="center"/>
    </xf>
    <xf numFmtId="0" fontId="24" fillId="38" borderId="105" xfId="0" applyFont="1" applyFill="1" applyBorder="1">
      <alignment vertical="center"/>
    </xf>
    <xf numFmtId="0" fontId="24" fillId="38" borderId="119" xfId="0" applyFont="1" applyFill="1" applyBorder="1">
      <alignment vertical="center"/>
    </xf>
    <xf numFmtId="0" fontId="24" fillId="38" borderId="116" xfId="0" applyFont="1" applyFill="1" applyBorder="1">
      <alignment vertical="center"/>
    </xf>
    <xf numFmtId="0" fontId="24" fillId="38" borderId="122" xfId="0" applyFont="1" applyFill="1" applyBorder="1">
      <alignment vertical="center"/>
    </xf>
    <xf numFmtId="0" fontId="24" fillId="38" borderId="123" xfId="0" applyFont="1" applyFill="1" applyBorder="1">
      <alignment vertical="center"/>
    </xf>
    <xf numFmtId="0" fontId="24" fillId="38" borderId="124" xfId="0" applyFont="1" applyFill="1" applyBorder="1">
      <alignment vertical="center"/>
    </xf>
    <xf numFmtId="0" fontId="31" fillId="38" borderId="104" xfId="0" applyFont="1" applyFill="1" applyBorder="1">
      <alignment vertical="center"/>
    </xf>
    <xf numFmtId="0" fontId="32" fillId="82" borderId="86" xfId="0" applyFont="1" applyFill="1" applyBorder="1">
      <alignment vertical="center"/>
    </xf>
    <xf numFmtId="0" fontId="24" fillId="22" borderId="156" xfId="0" applyFont="1" applyFill="1" applyBorder="1">
      <alignment vertical="center"/>
    </xf>
    <xf numFmtId="0" fontId="24" fillId="47" borderId="107" xfId="0" applyFont="1" applyFill="1" applyBorder="1">
      <alignment vertical="center"/>
    </xf>
    <xf numFmtId="0" fontId="24" fillId="47" borderId="108" xfId="0" applyFont="1" applyFill="1" applyBorder="1">
      <alignment vertical="center"/>
    </xf>
    <xf numFmtId="0" fontId="31" fillId="47" borderId="106" xfId="0" applyFont="1" applyFill="1" applyBorder="1">
      <alignment vertical="center"/>
    </xf>
    <xf numFmtId="0" fontId="24" fillId="24" borderId="80" xfId="0" applyFont="1" applyFill="1" applyBorder="1">
      <alignment vertical="center"/>
    </xf>
    <xf numFmtId="0" fontId="24" fillId="24" borderId="81" xfId="0" applyFont="1" applyFill="1" applyBorder="1">
      <alignment vertical="center"/>
    </xf>
    <xf numFmtId="0" fontId="24" fillId="24" borderId="82" xfId="0" applyFont="1" applyFill="1" applyBorder="1">
      <alignment vertical="center"/>
    </xf>
    <xf numFmtId="0" fontId="24" fillId="24" borderId="83" xfId="0" applyFont="1" applyFill="1" applyBorder="1">
      <alignment vertical="center"/>
    </xf>
    <xf numFmtId="0" fontId="24" fillId="24" borderId="84" xfId="0" applyFont="1" applyFill="1" applyBorder="1">
      <alignment vertical="center"/>
    </xf>
    <xf numFmtId="0" fontId="24" fillId="24" borderId="85" xfId="0" applyFont="1" applyFill="1" applyBorder="1">
      <alignment vertical="center"/>
    </xf>
    <xf numFmtId="0" fontId="24" fillId="24" borderId="86" xfId="0" applyFont="1" applyFill="1" applyBorder="1">
      <alignment vertical="center"/>
    </xf>
    <xf numFmtId="0" fontId="24" fillId="24" borderId="87" xfId="0" applyFont="1" applyFill="1" applyBorder="1">
      <alignment vertical="center"/>
    </xf>
    <xf numFmtId="0" fontId="24" fillId="24" borderId="88" xfId="0" applyFont="1" applyFill="1" applyBorder="1">
      <alignment vertical="center"/>
    </xf>
    <xf numFmtId="0" fontId="24" fillId="24" borderId="89" xfId="0" applyFont="1" applyFill="1" applyBorder="1">
      <alignment vertical="center"/>
    </xf>
    <xf numFmtId="0" fontId="24" fillId="24" borderId="90" xfId="0" applyFont="1" applyFill="1" applyBorder="1">
      <alignment vertical="center"/>
    </xf>
    <xf numFmtId="0" fontId="24" fillId="24" borderId="98" xfId="0" applyFont="1" applyFill="1" applyBorder="1">
      <alignment vertical="center"/>
    </xf>
    <xf numFmtId="0" fontId="24" fillId="24" borderId="99" xfId="0" applyFont="1" applyFill="1" applyBorder="1">
      <alignment vertical="center"/>
    </xf>
    <xf numFmtId="0" fontId="24" fillId="30" borderId="153" xfId="0" applyFont="1" applyFill="1" applyBorder="1">
      <alignment vertical="center"/>
    </xf>
    <xf numFmtId="0" fontId="24" fillId="24" borderId="156" xfId="0" applyFont="1" applyFill="1" applyBorder="1">
      <alignment vertical="center"/>
    </xf>
    <xf numFmtId="0" fontId="31" fillId="30" borderId="138" xfId="0" applyFont="1" applyFill="1" applyBorder="1">
      <alignment vertical="center"/>
    </xf>
    <xf numFmtId="0" fontId="24" fillId="30" borderId="157" xfId="0" applyFont="1" applyFill="1" applyBorder="1">
      <alignment vertical="center"/>
    </xf>
    <xf numFmtId="0" fontId="24" fillId="30" borderId="135" xfId="0" applyFont="1" applyFill="1" applyBorder="1">
      <alignment vertical="center"/>
    </xf>
    <xf numFmtId="0" fontId="24" fillId="30" borderId="137" xfId="0" applyFont="1" applyFill="1" applyBorder="1">
      <alignment vertical="center"/>
    </xf>
    <xf numFmtId="0" fontId="24" fillId="30" borderId="125" xfId="0" applyFont="1" applyFill="1" applyBorder="1">
      <alignment vertical="center"/>
    </xf>
    <xf numFmtId="0" fontId="24" fillId="30" borderId="138" xfId="0" applyFont="1" applyFill="1" applyBorder="1">
      <alignment vertical="center"/>
    </xf>
    <xf numFmtId="0" fontId="24" fillId="30" borderId="158" xfId="0" applyFont="1" applyFill="1" applyBorder="1">
      <alignment vertical="center"/>
    </xf>
    <xf numFmtId="0" fontId="24" fillId="24" borderId="143" xfId="0" applyFont="1" applyFill="1" applyBorder="1">
      <alignment vertical="center"/>
    </xf>
    <xf numFmtId="0" fontId="24" fillId="31" borderId="123" xfId="0" applyFont="1" applyFill="1" applyBorder="1">
      <alignment vertical="center"/>
    </xf>
    <xf numFmtId="0" fontId="31" fillId="80" borderId="83" xfId="0" applyFont="1" applyFill="1" applyBorder="1">
      <alignment vertical="center"/>
    </xf>
    <xf numFmtId="0" fontId="24" fillId="30" borderId="122" xfId="0" applyFont="1" applyFill="1" applyBorder="1">
      <alignment vertical="center"/>
    </xf>
    <xf numFmtId="0" fontId="24" fillId="30" borderId="123" xfId="0" applyFont="1" applyFill="1" applyBorder="1">
      <alignment vertical="center"/>
    </xf>
    <xf numFmtId="0" fontId="24" fillId="30" borderId="124" xfId="0" applyFont="1" applyFill="1" applyBorder="1">
      <alignment vertical="center"/>
    </xf>
    <xf numFmtId="0" fontId="31" fillId="30" borderId="104" xfId="0" applyFont="1" applyFill="1" applyBorder="1">
      <alignment vertical="center"/>
    </xf>
    <xf numFmtId="0" fontId="24" fillId="30" borderId="129" xfId="0" applyFont="1" applyFill="1" applyBorder="1">
      <alignment vertical="center"/>
    </xf>
    <xf numFmtId="0" fontId="31" fillId="30" borderId="141" xfId="0" applyFont="1" applyFill="1" applyBorder="1">
      <alignment vertical="center"/>
    </xf>
    <xf numFmtId="0" fontId="24" fillId="64" borderId="86" xfId="0" applyFont="1" applyFill="1" applyBorder="1">
      <alignment vertical="center"/>
    </xf>
    <xf numFmtId="0" fontId="24" fillId="64" borderId="110" xfId="0" applyFont="1" applyFill="1" applyBorder="1">
      <alignment vertical="center"/>
    </xf>
    <xf numFmtId="0" fontId="24" fillId="64" borderId="105" xfId="0" applyFont="1" applyFill="1" applyBorder="1">
      <alignment vertical="center"/>
    </xf>
    <xf numFmtId="0" fontId="24" fillId="64" borderId="119" xfId="0" applyFont="1" applyFill="1" applyBorder="1">
      <alignment vertical="center"/>
    </xf>
    <xf numFmtId="0" fontId="24" fillId="64" borderId="116" xfId="0" applyFont="1" applyFill="1" applyBorder="1">
      <alignment vertical="center"/>
    </xf>
    <xf numFmtId="0" fontId="24" fillId="64" borderId="122" xfId="0" applyFont="1" applyFill="1" applyBorder="1">
      <alignment vertical="center"/>
    </xf>
    <xf numFmtId="0" fontId="24" fillId="64" borderId="123" xfId="0" applyFont="1" applyFill="1" applyBorder="1">
      <alignment vertical="center"/>
    </xf>
    <xf numFmtId="0" fontId="24" fillId="64" borderId="124" xfId="0" applyFont="1" applyFill="1" applyBorder="1">
      <alignment vertical="center"/>
    </xf>
    <xf numFmtId="0" fontId="31" fillId="64" borderId="104" xfId="0" applyFont="1" applyFill="1" applyBorder="1">
      <alignment vertical="center"/>
    </xf>
    <xf numFmtId="0" fontId="24" fillId="25" borderId="80" xfId="0" applyFont="1" applyFill="1" applyBorder="1">
      <alignment vertical="center"/>
    </xf>
    <xf numFmtId="0" fontId="24" fillId="25" borderId="82" xfId="0" applyFont="1" applyFill="1" applyBorder="1">
      <alignment vertical="center"/>
    </xf>
    <xf numFmtId="0" fontId="24" fillId="25" borderId="83" xfId="0" applyFont="1" applyFill="1" applyBorder="1">
      <alignment vertical="center"/>
    </xf>
    <xf numFmtId="0" fontId="24" fillId="25" borderId="84" xfId="0" applyFont="1" applyFill="1" applyBorder="1">
      <alignment vertical="center"/>
    </xf>
    <xf numFmtId="0" fontId="24" fillId="25" borderId="85" xfId="0" applyFont="1" applyFill="1" applyBorder="1">
      <alignment vertical="center"/>
    </xf>
    <xf numFmtId="0" fontId="24" fillId="25" borderId="86" xfId="0" applyFont="1" applyFill="1" applyBorder="1">
      <alignment vertical="center"/>
    </xf>
    <xf numFmtId="0" fontId="24" fillId="25" borderId="87" xfId="0" applyFont="1" applyFill="1" applyBorder="1">
      <alignment vertical="center"/>
    </xf>
    <xf numFmtId="0" fontId="24" fillId="25" borderId="88" xfId="0" applyFont="1" applyFill="1" applyBorder="1">
      <alignment vertical="center"/>
    </xf>
    <xf numFmtId="0" fontId="24" fillId="25" borderId="89" xfId="0" applyFont="1" applyFill="1" applyBorder="1">
      <alignment vertical="center"/>
    </xf>
    <xf numFmtId="0" fontId="24" fillId="25" borderId="90" xfId="0" applyFont="1" applyFill="1" applyBorder="1">
      <alignment vertical="center"/>
    </xf>
    <xf numFmtId="0" fontId="24" fillId="25" borderId="91" xfId="0" applyFont="1" applyFill="1" applyBorder="1">
      <alignment vertical="center"/>
    </xf>
    <xf numFmtId="0" fontId="24" fillId="25" borderId="92" xfId="0" applyFont="1" applyFill="1" applyBorder="1">
      <alignment vertical="center"/>
    </xf>
    <xf numFmtId="0" fontId="24" fillId="25" borderId="93" xfId="0" applyFont="1" applyFill="1" applyBorder="1">
      <alignment vertical="center"/>
    </xf>
    <xf numFmtId="0" fontId="24" fillId="25" borderId="94" xfId="0" applyFont="1" applyFill="1" applyBorder="1">
      <alignment vertical="center"/>
    </xf>
    <xf numFmtId="0" fontId="24" fillId="25" borderId="95" xfId="0" applyFont="1" applyFill="1" applyBorder="1">
      <alignment vertical="center"/>
    </xf>
    <xf numFmtId="0" fontId="24" fillId="25" borderId="97" xfId="0" applyFont="1" applyFill="1" applyBorder="1">
      <alignment vertical="center"/>
    </xf>
    <xf numFmtId="0" fontId="24" fillId="25" borderId="98" xfId="0" applyFont="1" applyFill="1" applyBorder="1">
      <alignment vertical="center"/>
    </xf>
    <xf numFmtId="0" fontId="24" fillId="25" borderId="100" xfId="0" applyFont="1" applyFill="1" applyBorder="1">
      <alignment vertical="center"/>
    </xf>
    <xf numFmtId="0" fontId="24" fillId="25" borderId="102" xfId="0" applyFont="1" applyFill="1" applyBorder="1">
      <alignment vertical="center"/>
    </xf>
    <xf numFmtId="0" fontId="37" fillId="31" borderId="114" xfId="0" applyFont="1" applyFill="1" applyBorder="1">
      <alignment vertical="center"/>
    </xf>
    <xf numFmtId="0" fontId="24" fillId="31" borderId="115" xfId="0" applyFont="1" applyFill="1" applyBorder="1">
      <alignment vertical="center"/>
    </xf>
    <xf numFmtId="0" fontId="24" fillId="39" borderId="107" xfId="0" applyFont="1" applyFill="1" applyBorder="1">
      <alignment vertical="center"/>
    </xf>
    <xf numFmtId="0" fontId="24" fillId="39" borderId="108" xfId="0" applyFont="1" applyFill="1" applyBorder="1">
      <alignment vertical="center"/>
    </xf>
    <xf numFmtId="0" fontId="31" fillId="39" borderId="106" xfId="0" applyFont="1" applyFill="1" applyBorder="1">
      <alignment vertical="center"/>
    </xf>
    <xf numFmtId="0" fontId="37" fillId="31" borderId="117" xfId="0" applyFont="1" applyFill="1" applyBorder="1">
      <alignment vertical="center"/>
    </xf>
    <xf numFmtId="0" fontId="24" fillId="31" borderId="118" xfId="0" applyFont="1" applyFill="1" applyBorder="1">
      <alignment vertical="center"/>
    </xf>
    <xf numFmtId="0" fontId="24" fillId="25" borderId="109" xfId="0" applyFont="1" applyFill="1" applyBorder="1">
      <alignment vertical="center"/>
    </xf>
    <xf numFmtId="0" fontId="24" fillId="25" borderId="103" xfId="0" applyFont="1" applyFill="1" applyBorder="1">
      <alignment vertical="center"/>
    </xf>
    <xf numFmtId="0" fontId="24" fillId="31" borderId="125" xfId="0" applyFont="1" applyFill="1" applyBorder="1">
      <alignment vertical="center"/>
    </xf>
    <xf numFmtId="0" fontId="24" fillId="31" borderId="138" xfId="0" applyFont="1" applyFill="1" applyBorder="1">
      <alignment vertical="center"/>
    </xf>
    <xf numFmtId="0" fontId="24" fillId="31" borderId="157" xfId="0" applyFont="1" applyFill="1" applyBorder="1">
      <alignment vertical="center"/>
    </xf>
    <xf numFmtId="0" fontId="24" fillId="31" borderId="135" xfId="0" applyFont="1" applyFill="1" applyBorder="1">
      <alignment vertical="center"/>
    </xf>
    <xf numFmtId="0" fontId="24" fillId="31" borderId="158" xfId="0" applyFont="1" applyFill="1" applyBorder="1">
      <alignment vertical="center"/>
    </xf>
    <xf numFmtId="0" fontId="24" fillId="31" borderId="128" xfId="0" applyFont="1" applyFill="1" applyBorder="1">
      <alignment vertical="center"/>
    </xf>
    <xf numFmtId="0" fontId="24" fillId="39" borderId="125" xfId="0" applyFont="1" applyFill="1" applyBorder="1">
      <alignment vertical="center"/>
    </xf>
    <xf numFmtId="0" fontId="24" fillId="31" borderId="153" xfId="0" applyFont="1" applyFill="1" applyBorder="1">
      <alignment vertical="center"/>
    </xf>
    <xf numFmtId="0" fontId="24" fillId="31" borderId="137" xfId="0" applyFont="1" applyFill="1" applyBorder="1">
      <alignment vertical="center"/>
    </xf>
    <xf numFmtId="0" fontId="24" fillId="31" borderId="131" xfId="0" applyFont="1" applyFill="1" applyBorder="1">
      <alignment vertical="center"/>
    </xf>
    <xf numFmtId="0" fontId="24" fillId="31" borderId="136" xfId="0" applyFont="1" applyFill="1" applyBorder="1">
      <alignment vertical="center"/>
    </xf>
    <xf numFmtId="0" fontId="24" fillId="19" borderId="86" xfId="0" applyFont="1" applyFill="1" applyBorder="1">
      <alignment vertical="center"/>
    </xf>
    <xf numFmtId="0" fontId="24" fillId="25" borderId="143" xfId="0" applyFont="1" applyFill="1" applyBorder="1">
      <alignment vertical="center"/>
    </xf>
    <xf numFmtId="0" fontId="24" fillId="19" borderId="110" xfId="0" applyFont="1" applyFill="1" applyBorder="1">
      <alignment vertical="center"/>
    </xf>
    <xf numFmtId="0" fontId="24" fillId="19" borderId="105" xfId="0" applyFont="1" applyFill="1" applyBorder="1">
      <alignment vertical="center"/>
    </xf>
    <xf numFmtId="0" fontId="24" fillId="19" borderId="119" xfId="0" applyFont="1" applyFill="1" applyBorder="1">
      <alignment vertical="center"/>
    </xf>
    <xf numFmtId="0" fontId="24" fillId="19" borderId="116" xfId="0" applyFont="1" applyFill="1" applyBorder="1">
      <alignment vertical="center"/>
    </xf>
    <xf numFmtId="0" fontId="24" fillId="19" borderId="122" xfId="0" applyFont="1" applyFill="1" applyBorder="1">
      <alignment vertical="center"/>
    </xf>
    <xf numFmtId="0" fontId="24" fillId="19" borderId="124" xfId="0" applyFont="1" applyFill="1" applyBorder="1">
      <alignment vertical="center"/>
    </xf>
    <xf numFmtId="0" fontId="32" fillId="19" borderId="104" xfId="0" applyFont="1" applyFill="1" applyBorder="1">
      <alignment vertical="center"/>
    </xf>
    <xf numFmtId="0" fontId="24" fillId="19" borderId="87" xfId="0" applyFont="1" applyFill="1" applyBorder="1">
      <alignment vertical="center"/>
    </xf>
    <xf numFmtId="0" fontId="24" fillId="19" borderId="123" xfId="0" applyFont="1" applyFill="1" applyBorder="1">
      <alignment vertical="center"/>
    </xf>
    <xf numFmtId="0" fontId="24" fillId="31" borderId="159" xfId="0" applyFont="1" applyFill="1" applyBorder="1">
      <alignment vertical="center"/>
    </xf>
    <xf numFmtId="0" fontId="24" fillId="25" borderId="142" xfId="0" applyFont="1" applyFill="1" applyBorder="1">
      <alignment vertical="center"/>
    </xf>
    <xf numFmtId="0" fontId="24" fillId="85" borderId="137" xfId="0" applyFont="1" applyFill="1" applyBorder="1">
      <alignment vertical="center"/>
    </xf>
    <xf numFmtId="0" fontId="31" fillId="85" borderId="136" xfId="0" applyFont="1" applyFill="1" applyBorder="1">
      <alignment vertical="center"/>
    </xf>
    <xf numFmtId="0" fontId="31" fillId="6" borderId="86" xfId="0" applyFont="1" applyFill="1" applyBorder="1">
      <alignment vertical="center"/>
    </xf>
    <xf numFmtId="0" fontId="24" fillId="17" borderId="152" xfId="0" applyFont="1" applyFill="1" applyBorder="1">
      <alignment vertical="center"/>
    </xf>
    <xf numFmtId="0" fontId="24" fillId="17" borderId="156" xfId="0" applyFont="1" applyFill="1" applyBorder="1">
      <alignment vertical="center"/>
    </xf>
    <xf numFmtId="0" fontId="31" fillId="30" borderId="136" xfId="0" applyFont="1" applyFill="1" applyBorder="1">
      <alignment vertical="center"/>
    </xf>
    <xf numFmtId="0" fontId="38" fillId="33" borderId="86" xfId="0" applyFont="1" applyFill="1" applyBorder="1">
      <alignment vertical="center"/>
    </xf>
    <xf numFmtId="0" fontId="24" fillId="30" borderId="159" xfId="0" applyFont="1" applyFill="1" applyBorder="1">
      <alignment vertical="center"/>
    </xf>
    <xf numFmtId="0" fontId="24" fillId="54" borderId="105" xfId="0" applyFont="1" applyFill="1" applyBorder="1">
      <alignment vertical="center"/>
    </xf>
    <xf numFmtId="0" fontId="24" fillId="54" borderId="122" xfId="0" applyFont="1" applyFill="1" applyBorder="1">
      <alignment vertical="center"/>
    </xf>
    <xf numFmtId="0" fontId="24" fillId="54" borderId="124" xfId="0" applyFont="1" applyFill="1" applyBorder="1">
      <alignment vertical="center"/>
    </xf>
    <xf numFmtId="0" fontId="31" fillId="54" borderId="104" xfId="0" applyFont="1" applyFill="1" applyBorder="1">
      <alignment vertical="center"/>
    </xf>
    <xf numFmtId="0" fontId="24" fillId="59" borderId="86" xfId="0" applyFont="1" applyFill="1" applyBorder="1">
      <alignment vertical="center"/>
    </xf>
    <xf numFmtId="0" fontId="24" fillId="59" borderId="110" xfId="0" applyFont="1" applyFill="1" applyBorder="1">
      <alignment vertical="center"/>
    </xf>
    <xf numFmtId="0" fontId="24" fillId="59" borderId="119" xfId="0" applyFont="1" applyFill="1" applyBorder="1">
      <alignment vertical="center"/>
    </xf>
    <xf numFmtId="0" fontId="24" fillId="59" borderId="135" xfId="0" applyFont="1" applyFill="1" applyBorder="1">
      <alignment vertical="center"/>
    </xf>
    <xf numFmtId="0" fontId="24" fillId="59" borderId="137" xfId="0" applyFont="1" applyFill="1" applyBorder="1">
      <alignment vertical="center"/>
    </xf>
    <xf numFmtId="0" fontId="31" fillId="59" borderId="136" xfId="0" applyFont="1" applyFill="1" applyBorder="1">
      <alignment vertical="center"/>
    </xf>
    <xf numFmtId="0" fontId="24" fillId="71" borderId="123" xfId="0" applyFont="1" applyFill="1" applyBorder="1">
      <alignment vertical="center"/>
    </xf>
    <xf numFmtId="0" fontId="32" fillId="79" borderId="87" xfId="0" applyFont="1" applyFill="1" applyBorder="1">
      <alignment vertical="center"/>
    </xf>
    <xf numFmtId="0" fontId="24" fillId="48" borderId="86" xfId="0" applyFont="1" applyFill="1" applyBorder="1">
      <alignment vertical="center"/>
    </xf>
    <xf numFmtId="0" fontId="24" fillId="48" borderId="110" xfId="0" applyFont="1" applyFill="1" applyBorder="1">
      <alignment vertical="center"/>
    </xf>
    <xf numFmtId="0" fontId="24" fillId="48" borderId="105" xfId="0" applyFont="1" applyFill="1" applyBorder="1">
      <alignment vertical="center"/>
    </xf>
    <xf numFmtId="0" fontId="24" fillId="48" borderId="107" xfId="0" applyFont="1" applyFill="1" applyBorder="1">
      <alignment vertical="center"/>
    </xf>
    <xf numFmtId="0" fontId="24" fillId="48" borderId="108" xfId="0" applyFont="1" applyFill="1" applyBorder="1">
      <alignment vertical="center"/>
    </xf>
    <xf numFmtId="0" fontId="31" fillId="48" borderId="106" xfId="0" applyFont="1" applyFill="1" applyBorder="1">
      <alignment vertical="center"/>
    </xf>
    <xf numFmtId="0" fontId="38" fillId="33" borderId="83" xfId="0" applyFont="1" applyFill="1" applyBorder="1">
      <alignment vertical="center"/>
    </xf>
    <xf numFmtId="0" fontId="24" fillId="18" borderId="80" xfId="0" applyFont="1" applyFill="1" applyBorder="1">
      <alignment vertical="center"/>
    </xf>
    <xf numFmtId="0" fontId="24" fillId="18" borderId="82" xfId="0" applyFont="1" applyFill="1" applyBorder="1">
      <alignment vertical="center"/>
    </xf>
    <xf numFmtId="0" fontId="24" fillId="18" borderId="83" xfId="0" applyFont="1" applyFill="1" applyBorder="1">
      <alignment vertical="center"/>
    </xf>
    <xf numFmtId="0" fontId="24" fillId="18" borderId="84" xfId="0" applyFont="1" applyFill="1" applyBorder="1">
      <alignment vertical="center"/>
    </xf>
    <xf numFmtId="0" fontId="24" fillId="18" borderId="85" xfId="0" applyFont="1" applyFill="1" applyBorder="1">
      <alignment vertical="center"/>
    </xf>
    <xf numFmtId="0" fontId="24" fillId="18" borderId="86" xfId="0" applyFont="1" applyFill="1" applyBorder="1">
      <alignment vertical="center"/>
    </xf>
    <xf numFmtId="0" fontId="24" fillId="18" borderId="87" xfId="0" applyFont="1" applyFill="1" applyBorder="1">
      <alignment vertical="center"/>
    </xf>
    <xf numFmtId="0" fontId="24" fillId="18" borderId="88" xfId="0" applyFont="1" applyFill="1" applyBorder="1">
      <alignment vertical="center"/>
    </xf>
    <xf numFmtId="0" fontId="24" fillId="18" borderId="89" xfId="0" applyFont="1" applyFill="1" applyBorder="1">
      <alignment vertical="center"/>
    </xf>
    <xf numFmtId="0" fontId="24" fillId="18" borderId="90" xfId="0" applyFont="1" applyFill="1" applyBorder="1">
      <alignment vertical="center"/>
    </xf>
    <xf numFmtId="0" fontId="24" fillId="18" borderId="91" xfId="0" applyFont="1" applyFill="1" applyBorder="1">
      <alignment vertical="center"/>
    </xf>
    <xf numFmtId="0" fontId="24" fillId="18" borderId="92" xfId="0" applyFont="1" applyFill="1" applyBorder="1">
      <alignment vertical="center"/>
    </xf>
    <xf numFmtId="0" fontId="24" fillId="18" borderId="93" xfId="0" applyFont="1" applyFill="1" applyBorder="1">
      <alignment vertical="center"/>
    </xf>
    <xf numFmtId="0" fontId="24" fillId="18" borderId="95" xfId="0" applyFont="1" applyFill="1" applyBorder="1">
      <alignment vertical="center"/>
    </xf>
    <xf numFmtId="0" fontId="24" fillId="18" borderId="96" xfId="0" applyFont="1" applyFill="1" applyBorder="1">
      <alignment vertical="center"/>
    </xf>
    <xf numFmtId="0" fontId="24" fillId="18" borderId="97" xfId="0" applyFont="1" applyFill="1" applyBorder="1">
      <alignment vertical="center"/>
    </xf>
    <xf numFmtId="0" fontId="24" fillId="18" borderId="98" xfId="0" applyFont="1" applyFill="1" applyBorder="1">
      <alignment vertical="center"/>
    </xf>
    <xf numFmtId="0" fontId="24" fillId="18" borderId="99" xfId="0" applyFont="1" applyFill="1" applyBorder="1">
      <alignment vertical="center"/>
    </xf>
    <xf numFmtId="0" fontId="24" fillId="18" borderId="100" xfId="0" applyFont="1" applyFill="1" applyBorder="1">
      <alignment vertical="center"/>
    </xf>
    <xf numFmtId="0" fontId="24" fillId="18" borderId="101" xfId="0" applyFont="1" applyFill="1" applyBorder="1">
      <alignment vertical="center"/>
    </xf>
    <xf numFmtId="0" fontId="24" fillId="18" borderId="102" xfId="0" applyFont="1" applyFill="1" applyBorder="1">
      <alignment vertical="center"/>
    </xf>
    <xf numFmtId="0" fontId="24" fillId="18" borderId="103" xfId="0" applyFont="1" applyFill="1" applyBorder="1">
      <alignment vertical="center"/>
    </xf>
    <xf numFmtId="0" fontId="24" fillId="74" borderId="105" xfId="0" applyFont="1" applyFill="1" applyBorder="1">
      <alignment vertical="center"/>
    </xf>
    <xf numFmtId="0" fontId="24" fillId="48" borderId="115" xfId="0" applyFont="1" applyFill="1" applyBorder="1">
      <alignment vertical="center"/>
    </xf>
    <xf numFmtId="0" fontId="24" fillId="74" borderId="107" xfId="0" applyFont="1" applyFill="1" applyBorder="1">
      <alignment vertical="center"/>
    </xf>
    <xf numFmtId="0" fontId="24" fillId="74" borderId="108" xfId="0" applyFont="1" applyFill="1" applyBorder="1">
      <alignment vertical="center"/>
    </xf>
    <xf numFmtId="0" fontId="32" fillId="74" borderId="106" xfId="0" applyFont="1" applyFill="1" applyBorder="1">
      <alignment vertical="center"/>
    </xf>
    <xf numFmtId="0" fontId="31" fillId="78" borderId="86" xfId="0" applyFont="1" applyFill="1" applyBorder="1">
      <alignment vertical="center"/>
    </xf>
    <xf numFmtId="0" fontId="24" fillId="53" borderId="105" xfId="0" applyFont="1" applyFill="1" applyBorder="1">
      <alignment vertical="center"/>
    </xf>
    <xf numFmtId="0" fontId="24" fillId="53" borderId="119" xfId="0" applyFont="1" applyFill="1" applyBorder="1">
      <alignment vertical="center"/>
    </xf>
    <xf numFmtId="0" fontId="24" fillId="53" borderId="116" xfId="0" applyFont="1" applyFill="1" applyBorder="1">
      <alignment vertical="center"/>
    </xf>
    <xf numFmtId="0" fontId="24" fillId="53" borderId="122" xfId="0" applyFont="1" applyFill="1" applyBorder="1">
      <alignment vertical="center"/>
    </xf>
    <xf numFmtId="0" fontId="24" fillId="53" borderId="124" xfId="0" applyFont="1" applyFill="1" applyBorder="1">
      <alignment vertical="center"/>
    </xf>
    <xf numFmtId="0" fontId="32" fillId="53" borderId="104" xfId="0" applyFont="1" applyFill="1" applyBorder="1">
      <alignment vertical="center"/>
    </xf>
    <xf numFmtId="0" fontId="38" fillId="33" borderId="85" xfId="0" applyFont="1" applyFill="1" applyBorder="1">
      <alignment vertical="center"/>
    </xf>
    <xf numFmtId="0" fontId="24" fillId="18" borderId="156" xfId="0" applyFont="1" applyFill="1" applyBorder="1">
      <alignment vertical="center"/>
    </xf>
    <xf numFmtId="0" fontId="24" fillId="18" borderId="109" xfId="0" applyFont="1" applyFill="1" applyBorder="1">
      <alignment vertical="center"/>
    </xf>
    <xf numFmtId="0" fontId="35" fillId="18" borderId="85" xfId="0" applyFont="1" applyFill="1" applyBorder="1">
      <alignment vertical="center"/>
    </xf>
    <xf numFmtId="0" fontId="31" fillId="85" borderId="98" xfId="0" applyFont="1" applyFill="1" applyBorder="1">
      <alignment vertical="center"/>
    </xf>
    <xf numFmtId="0" fontId="24" fillId="19" borderId="80" xfId="0" applyFont="1" applyFill="1" applyBorder="1">
      <alignment vertical="center"/>
    </xf>
    <xf numFmtId="0" fontId="24" fillId="19" borderId="82" xfId="0" applyFont="1" applyFill="1" applyBorder="1">
      <alignment vertical="center"/>
    </xf>
    <xf numFmtId="0" fontId="24" fillId="19" borderId="83" xfId="0" applyFont="1" applyFill="1" applyBorder="1">
      <alignment vertical="center"/>
    </xf>
    <xf numFmtId="0" fontId="24" fillId="19" borderId="84" xfId="0" applyFont="1" applyFill="1" applyBorder="1">
      <alignment vertical="center"/>
    </xf>
    <xf numFmtId="0" fontId="24" fillId="19" borderId="85" xfId="0" applyFont="1" applyFill="1" applyBorder="1">
      <alignment vertical="center"/>
    </xf>
    <xf numFmtId="0" fontId="24" fillId="19" borderId="88" xfId="0" applyFont="1" applyFill="1" applyBorder="1">
      <alignment vertical="center"/>
    </xf>
    <xf numFmtId="0" fontId="24" fillId="19" borderId="89" xfId="0" applyFont="1" applyFill="1" applyBorder="1">
      <alignment vertical="center"/>
    </xf>
    <xf numFmtId="0" fontId="24" fillId="19" borderId="90" xfId="0" applyFont="1" applyFill="1" applyBorder="1">
      <alignment vertical="center"/>
    </xf>
    <xf numFmtId="0" fontId="24" fillId="19" borderId="91" xfId="0" applyFont="1" applyFill="1" applyBorder="1">
      <alignment vertical="center"/>
    </xf>
    <xf numFmtId="0" fontId="24" fillId="19" borderId="92" xfId="0" applyFont="1" applyFill="1" applyBorder="1">
      <alignment vertical="center"/>
    </xf>
    <xf numFmtId="0" fontId="24" fillId="19" borderId="93" xfId="0" applyFont="1" applyFill="1" applyBorder="1">
      <alignment vertical="center"/>
    </xf>
    <xf numFmtId="0" fontId="24" fillId="19" borderId="94" xfId="0" applyFont="1" applyFill="1" applyBorder="1">
      <alignment vertical="center"/>
    </xf>
    <xf numFmtId="0" fontId="24" fillId="19" borderId="95" xfId="0" applyFont="1" applyFill="1" applyBorder="1">
      <alignment vertical="center"/>
    </xf>
    <xf numFmtId="0" fontId="24" fillId="19" borderId="96" xfId="0" applyFont="1" applyFill="1" applyBorder="1">
      <alignment vertical="center"/>
    </xf>
    <xf numFmtId="0" fontId="24" fillId="19" borderId="97" xfId="0" applyFont="1" applyFill="1" applyBorder="1">
      <alignment vertical="center"/>
    </xf>
    <xf numFmtId="0" fontId="24" fillId="19" borderId="98" xfId="0" applyFont="1" applyFill="1" applyBorder="1">
      <alignment vertical="center"/>
    </xf>
    <xf numFmtId="0" fontId="24" fillId="19" borderId="100" xfId="0" applyFont="1" applyFill="1" applyBorder="1">
      <alignment vertical="center"/>
    </xf>
    <xf numFmtId="0" fontId="24" fillId="19" borderId="101" xfId="0" applyFont="1" applyFill="1" applyBorder="1">
      <alignment vertical="center"/>
    </xf>
    <xf numFmtId="0" fontId="24" fillId="19" borderId="102" xfId="0" applyFont="1" applyFill="1" applyBorder="1">
      <alignment vertical="center"/>
    </xf>
    <xf numFmtId="0" fontId="24" fillId="75" borderId="86" xfId="0" applyFont="1" applyFill="1" applyBorder="1">
      <alignment vertical="center"/>
    </xf>
    <xf numFmtId="0" fontId="24" fillId="19" borderId="152" xfId="0" applyFont="1" applyFill="1" applyBorder="1">
      <alignment vertical="center"/>
    </xf>
    <xf numFmtId="0" fontId="24" fillId="75" borderId="110" xfId="0" applyFont="1" applyFill="1" applyBorder="1">
      <alignment vertical="center"/>
    </xf>
    <xf numFmtId="0" fontId="24" fillId="75" borderId="105" xfId="0" applyFont="1" applyFill="1" applyBorder="1">
      <alignment vertical="center"/>
    </xf>
    <xf numFmtId="0" fontId="24" fillId="75" borderId="119" xfId="0" applyFont="1" applyFill="1" applyBorder="1">
      <alignment vertical="center"/>
    </xf>
    <xf numFmtId="0" fontId="24" fillId="75" borderId="116" xfId="0" applyFont="1" applyFill="1" applyBorder="1">
      <alignment vertical="center"/>
    </xf>
    <xf numFmtId="0" fontId="24" fillId="75" borderId="122" xfId="0" applyFont="1" applyFill="1" applyBorder="1">
      <alignment vertical="center"/>
    </xf>
    <xf numFmtId="0" fontId="24" fillId="75" borderId="123" xfId="0" applyFont="1" applyFill="1" applyBorder="1">
      <alignment vertical="center"/>
    </xf>
    <xf numFmtId="0" fontId="24" fillId="75" borderId="124" xfId="0" applyFont="1" applyFill="1" applyBorder="1">
      <alignment vertical="center"/>
    </xf>
    <xf numFmtId="0" fontId="39" fillId="75" borderId="104" xfId="0" applyFont="1" applyFill="1" applyBorder="1">
      <alignment vertical="center"/>
    </xf>
    <xf numFmtId="0" fontId="24" fillId="75" borderId="89" xfId="0" applyFont="1" applyFill="1" applyBorder="1">
      <alignment vertical="center"/>
    </xf>
    <xf numFmtId="0" fontId="24" fillId="62" borderId="86" xfId="0" applyFont="1" applyFill="1" applyBorder="1">
      <alignment vertical="center"/>
    </xf>
    <xf numFmtId="0" fontId="24" fillId="62" borderId="110" xfId="0" applyFont="1" applyFill="1" applyBorder="1">
      <alignment vertical="center"/>
    </xf>
    <xf numFmtId="0" fontId="24" fillId="62" borderId="105" xfId="0" applyFont="1" applyFill="1" applyBorder="1">
      <alignment vertical="center"/>
    </xf>
    <xf numFmtId="0" fontId="24" fillId="62" borderId="119" xfId="0" applyFont="1" applyFill="1" applyBorder="1">
      <alignment vertical="center"/>
    </xf>
    <xf numFmtId="0" fontId="24" fillId="62" borderId="116" xfId="0" applyFont="1" applyFill="1" applyBorder="1">
      <alignment vertical="center"/>
    </xf>
    <xf numFmtId="0" fontId="24" fillId="62" borderId="122" xfId="0" applyFont="1" applyFill="1" applyBorder="1">
      <alignment vertical="center"/>
    </xf>
    <xf numFmtId="0" fontId="24" fillId="62" borderId="123" xfId="0" applyFont="1" applyFill="1" applyBorder="1">
      <alignment vertical="center"/>
    </xf>
    <xf numFmtId="0" fontId="24" fillId="62" borderId="124" xfId="0" applyFont="1" applyFill="1" applyBorder="1">
      <alignment vertical="center"/>
    </xf>
    <xf numFmtId="0" fontId="40" fillId="62" borderId="104" xfId="0" applyFont="1" applyFill="1" applyBorder="1">
      <alignment vertical="center"/>
    </xf>
    <xf numFmtId="0" fontId="24" fillId="74" borderId="119" xfId="0" applyFont="1" applyFill="1" applyBorder="1">
      <alignment vertical="center"/>
    </xf>
    <xf numFmtId="0" fontId="24" fillId="74" borderId="116" xfId="0" applyFont="1" applyFill="1" applyBorder="1">
      <alignment vertical="center"/>
    </xf>
    <xf numFmtId="0" fontId="24" fillId="74" borderId="122" xfId="0" applyFont="1" applyFill="1" applyBorder="1">
      <alignment vertical="center"/>
    </xf>
    <xf numFmtId="0" fontId="24" fillId="74" borderId="124" xfId="0" applyFont="1" applyFill="1" applyBorder="1">
      <alignment vertical="center"/>
    </xf>
    <xf numFmtId="0" fontId="32" fillId="74" borderId="104" xfId="0" applyFont="1" applyFill="1" applyBorder="1">
      <alignment vertical="center"/>
    </xf>
    <xf numFmtId="0" fontId="24" fillId="52" borderId="86" xfId="0" applyFont="1" applyFill="1" applyBorder="1">
      <alignment vertical="center"/>
    </xf>
    <xf numFmtId="0" fontId="24" fillId="52" borderId="110" xfId="0" applyFont="1" applyFill="1" applyBorder="1">
      <alignment vertical="center"/>
    </xf>
    <xf numFmtId="0" fontId="24" fillId="52" borderId="105" xfId="0" applyFont="1" applyFill="1" applyBorder="1">
      <alignment vertical="center"/>
    </xf>
    <xf numFmtId="0" fontId="24" fillId="52" borderId="119" xfId="0" applyFont="1" applyFill="1" applyBorder="1">
      <alignment vertical="center"/>
    </xf>
    <xf numFmtId="0" fontId="24" fillId="52" borderId="116" xfId="0" applyFont="1" applyFill="1" applyBorder="1">
      <alignment vertical="center"/>
    </xf>
    <xf numFmtId="0" fontId="24" fillId="52" borderId="122" xfId="0" applyFont="1" applyFill="1" applyBorder="1">
      <alignment vertical="center"/>
    </xf>
    <xf numFmtId="0" fontId="24" fillId="52" borderId="123" xfId="0" applyFont="1" applyFill="1" applyBorder="1">
      <alignment vertical="center"/>
    </xf>
    <xf numFmtId="0" fontId="24" fillId="52" borderId="124" xfId="0" applyFont="1" applyFill="1" applyBorder="1">
      <alignment vertical="center"/>
    </xf>
    <xf numFmtId="0" fontId="41" fillId="52" borderId="104" xfId="0" applyFont="1" applyFill="1" applyBorder="1">
      <alignment vertical="center"/>
    </xf>
    <xf numFmtId="0" fontId="32" fillId="77" borderId="83" xfId="0" applyFont="1" applyFill="1" applyBorder="1">
      <alignment vertical="center"/>
    </xf>
    <xf numFmtId="0" fontId="24" fillId="19" borderId="109" xfId="0" applyFont="1" applyFill="1" applyBorder="1">
      <alignment vertical="center"/>
    </xf>
    <xf numFmtId="0" fontId="24" fillId="19" borderId="103" xfId="0" applyFont="1" applyFill="1" applyBorder="1">
      <alignment vertical="center"/>
    </xf>
    <xf numFmtId="0" fontId="32" fillId="44" borderId="144" xfId="0" applyFont="1" applyFill="1" applyBorder="1">
      <alignment vertical="center"/>
    </xf>
    <xf numFmtId="0" fontId="24" fillId="44" borderId="145" xfId="0" applyFont="1" applyFill="1" applyBorder="1">
      <alignment vertical="center"/>
    </xf>
    <xf numFmtId="0" fontId="24" fillId="22" borderId="103" xfId="0" applyFont="1" applyFill="1" applyBorder="1">
      <alignment vertical="center"/>
    </xf>
    <xf numFmtId="0" fontId="24" fillId="40" borderId="105" xfId="0" applyFont="1" applyFill="1" applyBorder="1">
      <alignment vertical="center"/>
    </xf>
    <xf numFmtId="0" fontId="24" fillId="40" borderId="107" xfId="0" applyFont="1" applyFill="1" applyBorder="1">
      <alignment vertical="center"/>
    </xf>
    <xf numFmtId="0" fontId="24" fillId="40" borderId="153" xfId="0" applyFont="1" applyFill="1" applyBorder="1">
      <alignment vertical="center"/>
    </xf>
    <xf numFmtId="0" fontId="24" fillId="40" borderId="110" xfId="0" applyFont="1" applyFill="1" applyBorder="1">
      <alignment vertical="center"/>
    </xf>
    <xf numFmtId="0" fontId="32" fillId="40" borderId="138" xfId="0" applyFont="1" applyFill="1" applyBorder="1">
      <alignment vertical="center"/>
    </xf>
    <xf numFmtId="0" fontId="24" fillId="40" borderId="157" xfId="0" applyFont="1" applyFill="1" applyBorder="1">
      <alignment vertical="center"/>
    </xf>
    <xf numFmtId="0" fontId="24" fillId="40" borderId="135" xfId="0" applyFont="1" applyFill="1" applyBorder="1">
      <alignment vertical="center"/>
    </xf>
    <xf numFmtId="0" fontId="24" fillId="40" borderId="158" xfId="0" applyFont="1" applyFill="1" applyBorder="1">
      <alignment vertical="center"/>
    </xf>
    <xf numFmtId="0" fontId="24" fillId="40" borderId="138" xfId="0" applyFont="1" applyFill="1" applyBorder="1">
      <alignment vertical="center"/>
    </xf>
    <xf numFmtId="0" fontId="24" fillId="40" borderId="125" xfId="0" applyFont="1" applyFill="1" applyBorder="1">
      <alignment vertical="center"/>
    </xf>
    <xf numFmtId="0" fontId="24" fillId="88" borderId="86" xfId="0" applyFont="1" applyFill="1" applyBorder="1">
      <alignment vertical="center"/>
    </xf>
    <xf numFmtId="0" fontId="24" fillId="88" borderId="110" xfId="0" applyFont="1" applyFill="1" applyBorder="1">
      <alignment vertical="center"/>
    </xf>
    <xf numFmtId="0" fontId="24" fillId="88" borderId="105" xfId="0" applyFont="1" applyFill="1" applyBorder="1">
      <alignment vertical="center"/>
    </xf>
    <xf numFmtId="0" fontId="24" fillId="88" borderId="119" xfId="0" applyFont="1" applyFill="1" applyBorder="1">
      <alignment vertical="center"/>
    </xf>
    <xf numFmtId="0" fontId="24" fillId="88" borderId="116" xfId="0" applyFont="1" applyFill="1" applyBorder="1">
      <alignment vertical="center"/>
    </xf>
    <xf numFmtId="0" fontId="24" fillId="88" borderId="122" xfId="0" applyFont="1" applyFill="1" applyBorder="1">
      <alignment vertical="center"/>
    </xf>
    <xf numFmtId="0" fontId="24" fillId="88" borderId="123" xfId="0" applyFont="1" applyFill="1" applyBorder="1">
      <alignment vertical="center"/>
    </xf>
    <xf numFmtId="0" fontId="24" fillId="88" borderId="124" xfId="0" applyFont="1" applyFill="1" applyBorder="1">
      <alignment vertical="center"/>
    </xf>
    <xf numFmtId="0" fontId="31" fillId="88" borderId="104" xfId="0" applyFont="1" applyFill="1" applyBorder="1">
      <alignment vertical="center"/>
    </xf>
    <xf numFmtId="0" fontId="24" fillId="76" borderId="107" xfId="0" applyFont="1" applyFill="1" applyBorder="1">
      <alignment vertical="center"/>
    </xf>
    <xf numFmtId="0" fontId="24" fillId="76" borderId="108" xfId="0" applyFont="1" applyFill="1" applyBorder="1">
      <alignment vertical="center"/>
    </xf>
    <xf numFmtId="0" fontId="31" fillId="76" borderId="106" xfId="0" applyFont="1" applyFill="1" applyBorder="1">
      <alignment vertical="center"/>
    </xf>
    <xf numFmtId="0" fontId="24" fillId="22" borderId="143" xfId="0" applyFont="1" applyFill="1" applyBorder="1">
      <alignment vertical="center"/>
    </xf>
    <xf numFmtId="0" fontId="24" fillId="20" borderId="80" xfId="0" applyFont="1" applyFill="1" applyBorder="1">
      <alignment vertical="center"/>
    </xf>
    <xf numFmtId="0" fontId="24" fillId="20" borderId="82" xfId="0" applyFont="1" applyFill="1" applyBorder="1">
      <alignment vertical="center"/>
    </xf>
    <xf numFmtId="0" fontId="24" fillId="20" borderId="83" xfId="0" applyFont="1" applyFill="1" applyBorder="1">
      <alignment vertical="center"/>
    </xf>
    <xf numFmtId="0" fontId="24" fillId="20" borderId="84" xfId="0" applyFont="1" applyFill="1" applyBorder="1">
      <alignment vertical="center"/>
    </xf>
    <xf numFmtId="0" fontId="24" fillId="20" borderId="85" xfId="0" applyFont="1" applyFill="1" applyBorder="1">
      <alignment vertical="center"/>
    </xf>
    <xf numFmtId="0" fontId="24" fillId="20" borderId="86" xfId="0" applyFont="1" applyFill="1" applyBorder="1">
      <alignment vertical="center"/>
    </xf>
    <xf numFmtId="0" fontId="24" fillId="20" borderId="87" xfId="0" applyFont="1" applyFill="1" applyBorder="1">
      <alignment vertical="center"/>
    </xf>
    <xf numFmtId="0" fontId="24" fillId="20" borderId="88" xfId="0" applyFont="1" applyFill="1" applyBorder="1">
      <alignment vertical="center"/>
    </xf>
    <xf numFmtId="0" fontId="24" fillId="20" borderId="89" xfId="0" applyFont="1" applyFill="1" applyBorder="1">
      <alignment vertical="center"/>
    </xf>
    <xf numFmtId="0" fontId="24" fillId="20" borderId="91" xfId="0" applyFont="1" applyFill="1" applyBorder="1">
      <alignment vertical="center"/>
    </xf>
    <xf numFmtId="0" fontId="24" fillId="20" borderId="92" xfId="0" applyFont="1" applyFill="1" applyBorder="1">
      <alignment vertical="center"/>
    </xf>
    <xf numFmtId="0" fontId="24" fillId="20" borderId="93" xfId="0" applyFont="1" applyFill="1" applyBorder="1">
      <alignment vertical="center"/>
    </xf>
    <xf numFmtId="0" fontId="24" fillId="20" borderId="94" xfId="0" applyFont="1" applyFill="1" applyBorder="1">
      <alignment vertical="center"/>
    </xf>
    <xf numFmtId="0" fontId="24" fillId="20" borderId="95" xfId="0" applyFont="1" applyFill="1" applyBorder="1">
      <alignment vertical="center"/>
    </xf>
    <xf numFmtId="0" fontId="24" fillId="20" borderId="96" xfId="0" applyFont="1" applyFill="1" applyBorder="1">
      <alignment vertical="center"/>
    </xf>
    <xf numFmtId="0" fontId="24" fillId="20" borderId="97" xfId="0" applyFont="1" applyFill="1" applyBorder="1">
      <alignment vertical="center"/>
    </xf>
    <xf numFmtId="0" fontId="24" fillId="20" borderId="98" xfId="0" applyFont="1" applyFill="1" applyBorder="1">
      <alignment vertical="center"/>
    </xf>
    <xf numFmtId="0" fontId="24" fillId="20" borderId="99" xfId="0" applyFont="1" applyFill="1" applyBorder="1">
      <alignment vertical="center"/>
    </xf>
    <xf numFmtId="0" fontId="24" fillId="20" borderId="100" xfId="0" applyFont="1" applyFill="1" applyBorder="1">
      <alignment vertical="center"/>
    </xf>
    <xf numFmtId="0" fontId="24" fillId="20" borderId="101" xfId="0" applyFont="1" applyFill="1" applyBorder="1">
      <alignment vertical="center"/>
    </xf>
    <xf numFmtId="0" fontId="24" fillId="20" borderId="102" xfId="0" applyFont="1" applyFill="1" applyBorder="1">
      <alignment vertical="center"/>
    </xf>
    <xf numFmtId="0" fontId="24" fillId="20" borderId="109" xfId="0" applyFont="1" applyFill="1" applyBorder="1">
      <alignment vertical="center"/>
    </xf>
    <xf numFmtId="0" fontId="24" fillId="20" borderId="103" xfId="0" applyFont="1" applyFill="1" applyBorder="1">
      <alignment vertical="center"/>
    </xf>
    <xf numFmtId="0" fontId="24" fillId="46" borderId="135" xfId="0" applyFont="1" applyFill="1" applyBorder="1">
      <alignment vertical="center"/>
    </xf>
    <xf numFmtId="0" fontId="24" fillId="46" borderId="137" xfId="0" applyFont="1" applyFill="1" applyBorder="1">
      <alignment vertical="center"/>
    </xf>
    <xf numFmtId="0" fontId="32" fillId="46" borderId="136" xfId="0" applyFont="1" applyFill="1" applyBorder="1">
      <alignment vertical="center"/>
    </xf>
    <xf numFmtId="0" fontId="32" fillId="77" borderId="87" xfId="0" applyFont="1" applyFill="1" applyBorder="1">
      <alignment vertical="center"/>
    </xf>
    <xf numFmtId="0" fontId="24" fillId="20" borderId="112" xfId="0" applyFont="1" applyFill="1" applyBorder="1">
      <alignment vertical="center"/>
    </xf>
    <xf numFmtId="0" fontId="24" fillId="26" borderId="86" xfId="0" applyFont="1" applyFill="1" applyBorder="1">
      <alignment vertical="center"/>
    </xf>
    <xf numFmtId="0" fontId="24" fillId="26" borderId="105" xfId="0" applyFont="1" applyFill="1" applyBorder="1">
      <alignment vertical="center"/>
    </xf>
    <xf numFmtId="0" fontId="24" fillId="26" borderId="116" xfId="0" applyFont="1" applyFill="1" applyBorder="1">
      <alignment vertical="center"/>
    </xf>
    <xf numFmtId="0" fontId="24" fillId="20" borderId="160" xfId="0" applyFont="1" applyFill="1" applyBorder="1">
      <alignment vertical="center"/>
    </xf>
    <xf numFmtId="0" fontId="32" fillId="26" borderId="141" xfId="0" applyFont="1" applyFill="1" applyBorder="1">
      <alignment vertical="center"/>
    </xf>
    <xf numFmtId="0" fontId="24" fillId="26" borderId="85" xfId="0" applyFont="1" applyFill="1" applyBorder="1">
      <alignment vertical="center"/>
    </xf>
    <xf numFmtId="0" fontId="24" fillId="26" borderId="148" xfId="0" applyFont="1" applyFill="1" applyBorder="1">
      <alignment vertical="center"/>
    </xf>
    <xf numFmtId="0" fontId="24" fillId="26" borderId="129" xfId="0" applyFont="1" applyFill="1" applyBorder="1">
      <alignment vertical="center"/>
    </xf>
    <xf numFmtId="0" fontId="24" fillId="26" borderId="87" xfId="0" applyFont="1" applyFill="1" applyBorder="1">
      <alignment vertical="center"/>
    </xf>
    <xf numFmtId="0" fontId="24" fillId="26" borderId="130" xfId="0" applyFont="1" applyFill="1" applyBorder="1">
      <alignment vertical="center"/>
    </xf>
    <xf numFmtId="0" fontId="24" fillId="20" borderId="133" xfId="0" applyFont="1" applyFill="1" applyBorder="1">
      <alignment vertical="center"/>
    </xf>
    <xf numFmtId="0" fontId="24" fillId="20" borderId="134" xfId="0" applyFont="1" applyFill="1" applyBorder="1">
      <alignment vertical="center"/>
    </xf>
    <xf numFmtId="0" fontId="24" fillId="20" borderId="152" xfId="0" applyFont="1" applyFill="1" applyBorder="1">
      <alignment vertical="center"/>
    </xf>
    <xf numFmtId="0" fontId="31" fillId="85" borderId="112" xfId="0" applyFont="1" applyFill="1" applyBorder="1">
      <alignment vertical="center"/>
    </xf>
    <xf numFmtId="0" fontId="24" fillId="18" borderId="152" xfId="0" applyFont="1" applyFill="1" applyBorder="1">
      <alignment vertical="center"/>
    </xf>
    <xf numFmtId="0" fontId="24" fillId="32" borderId="107" xfId="0" applyFont="1" applyFill="1" applyBorder="1">
      <alignment vertical="center"/>
    </xf>
    <xf numFmtId="0" fontId="24" fillId="32" borderId="125" xfId="0" applyFont="1" applyFill="1" applyBorder="1">
      <alignment vertical="center"/>
    </xf>
    <xf numFmtId="0" fontId="24" fillId="42" borderId="107" xfId="0" applyFont="1" applyFill="1" applyBorder="1">
      <alignment vertical="center"/>
    </xf>
    <xf numFmtId="0" fontId="24" fillId="42" borderId="108" xfId="0" applyFont="1" applyFill="1" applyBorder="1">
      <alignment vertical="center"/>
    </xf>
    <xf numFmtId="0" fontId="31" fillId="42" borderId="106" xfId="0" applyFont="1" applyFill="1" applyBorder="1">
      <alignment vertical="center"/>
    </xf>
    <xf numFmtId="0" fontId="24" fillId="32" borderId="153" xfId="0" applyFont="1" applyFill="1" applyBorder="1">
      <alignment vertical="center"/>
    </xf>
    <xf numFmtId="0" fontId="31" fillId="32" borderId="138" xfId="0" applyFont="1" applyFill="1" applyBorder="1">
      <alignment vertical="center"/>
    </xf>
    <xf numFmtId="0" fontId="24" fillId="32" borderId="157" xfId="0" applyFont="1" applyFill="1" applyBorder="1">
      <alignment vertical="center"/>
    </xf>
    <xf numFmtId="0" fontId="24" fillId="32" borderId="135" xfId="0" applyFont="1" applyFill="1" applyBorder="1">
      <alignment vertical="center"/>
    </xf>
    <xf numFmtId="0" fontId="24" fillId="32" borderId="137" xfId="0" applyFont="1" applyFill="1" applyBorder="1">
      <alignment vertical="center"/>
    </xf>
    <xf numFmtId="0" fontId="24" fillId="23" borderId="85" xfId="0" applyFont="1" applyFill="1" applyBorder="1">
      <alignment vertical="center"/>
    </xf>
    <xf numFmtId="0" fontId="24" fillId="23" borderId="86" xfId="0" applyFont="1" applyFill="1" applyBorder="1">
      <alignment vertical="center"/>
    </xf>
    <xf numFmtId="0" fontId="24" fillId="32" borderId="154" xfId="0" applyFont="1" applyFill="1" applyBorder="1">
      <alignment vertical="center"/>
    </xf>
    <xf numFmtId="0" fontId="24" fillId="23" borderId="119" xfId="0" applyFont="1" applyFill="1" applyBorder="1">
      <alignment vertical="center"/>
    </xf>
    <xf numFmtId="0" fontId="24" fillId="23" borderId="122" xfId="0" applyFont="1" applyFill="1" applyBorder="1">
      <alignment vertical="center"/>
    </xf>
    <xf numFmtId="0" fontId="24" fillId="23" borderId="124" xfId="0" applyFont="1" applyFill="1" applyBorder="1">
      <alignment vertical="center"/>
    </xf>
    <xf numFmtId="0" fontId="32" fillId="23" borderId="104" xfId="0" applyFont="1" applyFill="1" applyBorder="1">
      <alignment vertical="center"/>
    </xf>
    <xf numFmtId="0" fontId="24" fillId="46" borderId="86" xfId="0" applyFont="1" applyFill="1" applyBorder="1">
      <alignment vertical="center"/>
    </xf>
    <xf numFmtId="0" fontId="24" fillId="18" borderId="133" xfId="0" applyFont="1" applyFill="1" applyBorder="1">
      <alignment vertical="center"/>
    </xf>
    <xf numFmtId="0" fontId="24" fillId="46" borderId="110" xfId="0" applyFont="1" applyFill="1" applyBorder="1">
      <alignment vertical="center"/>
    </xf>
    <xf numFmtId="0" fontId="24" fillId="46" borderId="123" xfId="0" applyFont="1" applyFill="1" applyBorder="1">
      <alignment vertical="center"/>
    </xf>
    <xf numFmtId="0" fontId="32" fillId="46" borderId="104" xfId="0" applyFont="1" applyFill="1" applyBorder="1">
      <alignment vertical="center"/>
    </xf>
    <xf numFmtId="0" fontId="31" fillId="4" borderId="86" xfId="0" applyFont="1" applyFill="1" applyBorder="1">
      <alignment vertical="center"/>
    </xf>
    <xf numFmtId="0" fontId="24" fillId="84" borderId="107" xfId="0" applyFont="1" applyFill="1" applyBorder="1">
      <alignment vertical="center"/>
    </xf>
    <xf numFmtId="0" fontId="24" fillId="84" borderId="108" xfId="0" applyFont="1" applyFill="1" applyBorder="1">
      <alignment vertical="center"/>
    </xf>
    <xf numFmtId="0" fontId="31" fillId="84" borderId="106" xfId="0" applyFont="1" applyFill="1" applyBorder="1">
      <alignment vertical="center"/>
    </xf>
    <xf numFmtId="0" fontId="31" fillId="59" borderId="86" xfId="0" applyFont="1" applyFill="1" applyBorder="1">
      <alignment vertical="center"/>
    </xf>
    <xf numFmtId="0" fontId="31" fillId="85" borderId="89" xfId="0" applyFont="1" applyFill="1" applyBorder="1">
      <alignment vertical="center"/>
    </xf>
    <xf numFmtId="0" fontId="31" fillId="62" borderId="104" xfId="0" applyFont="1" applyFill="1" applyBorder="1">
      <alignment vertical="center"/>
    </xf>
    <xf numFmtId="0" fontId="24" fillId="82" borderId="108" xfId="0" applyFont="1" applyFill="1" applyBorder="1">
      <alignment vertical="center"/>
    </xf>
    <xf numFmtId="0" fontId="32" fillId="82" borderId="106" xfId="0" applyFont="1" applyFill="1" applyBorder="1">
      <alignment vertical="center"/>
    </xf>
    <xf numFmtId="0" fontId="24" fillId="18" borderId="161" xfId="0" applyFont="1" applyFill="1" applyBorder="1">
      <alignment vertical="center"/>
    </xf>
    <xf numFmtId="0" fontId="24" fillId="58" borderId="105" xfId="0" applyFont="1" applyFill="1" applyBorder="1">
      <alignment vertical="center"/>
    </xf>
    <xf numFmtId="0" fontId="24" fillId="58" borderId="107" xfId="0" applyFont="1" applyFill="1" applyBorder="1">
      <alignment vertical="center"/>
    </xf>
    <xf numFmtId="0" fontId="31" fillId="58" borderId="106" xfId="0" applyFont="1" applyFill="1" applyBorder="1">
      <alignment vertical="center"/>
    </xf>
    <xf numFmtId="0" fontId="24" fillId="61" borderId="86" xfId="0" applyFont="1" applyFill="1" applyBorder="1">
      <alignment vertical="center"/>
    </xf>
    <xf numFmtId="0" fontId="24" fillId="18" borderId="162" xfId="0" applyFont="1" applyFill="1" applyBorder="1">
      <alignment vertical="center"/>
    </xf>
    <xf numFmtId="0" fontId="24" fillId="58" borderId="125" xfId="0" applyFont="1" applyFill="1" applyBorder="1">
      <alignment vertical="center"/>
    </xf>
    <xf numFmtId="0" fontId="24" fillId="61" borderId="110" xfId="0" applyFont="1" applyFill="1" applyBorder="1">
      <alignment vertical="center"/>
    </xf>
    <xf numFmtId="0" fontId="24" fillId="61" borderId="105" xfId="0" applyFont="1" applyFill="1" applyBorder="1">
      <alignment vertical="center"/>
    </xf>
    <xf numFmtId="0" fontId="24" fillId="61" borderId="122" xfId="0" applyFont="1" applyFill="1" applyBorder="1">
      <alignment vertical="center"/>
    </xf>
    <xf numFmtId="0" fontId="24" fillId="61" borderId="123" xfId="0" applyFont="1" applyFill="1" applyBorder="1">
      <alignment vertical="center"/>
    </xf>
    <xf numFmtId="0" fontId="31" fillId="61" borderId="104" xfId="0" applyFont="1" applyFill="1" applyBorder="1">
      <alignment vertical="center"/>
    </xf>
    <xf numFmtId="0" fontId="32" fillId="46" borderId="114" xfId="0" applyFont="1" applyFill="1" applyBorder="1">
      <alignment vertical="center"/>
    </xf>
    <xf numFmtId="0" fontId="24" fillId="46" borderId="115" xfId="0" applyFont="1" applyFill="1" applyBorder="1">
      <alignment vertical="center"/>
    </xf>
    <xf numFmtId="0" fontId="24" fillId="46" borderId="120" xfId="0" applyFont="1" applyFill="1" applyBorder="1">
      <alignment vertical="center"/>
    </xf>
    <xf numFmtId="0" fontId="24" fillId="61" borderId="88" xfId="0" applyFont="1" applyFill="1" applyBorder="1">
      <alignment vertical="center"/>
    </xf>
    <xf numFmtId="0" fontId="24" fillId="61" borderId="89" xfId="0" applyFont="1" applyFill="1" applyBorder="1">
      <alignment vertical="center"/>
    </xf>
    <xf numFmtId="0" fontId="24" fillId="61" borderId="147" xfId="0" applyFont="1" applyFill="1" applyBorder="1">
      <alignment vertical="center"/>
    </xf>
    <xf numFmtId="0" fontId="24" fillId="40" borderId="86" xfId="0" applyFont="1" applyFill="1" applyBorder="1">
      <alignment vertical="center"/>
    </xf>
    <xf numFmtId="0" fontId="24" fillId="18" borderId="112" xfId="0" applyFont="1" applyFill="1" applyBorder="1">
      <alignment vertical="center"/>
    </xf>
    <xf numFmtId="0" fontId="24" fillId="40" borderId="119" xfId="0" applyFont="1" applyFill="1" applyBorder="1">
      <alignment vertical="center"/>
    </xf>
    <xf numFmtId="0" fontId="24" fillId="40" borderId="116" xfId="0" applyFont="1" applyFill="1" applyBorder="1">
      <alignment vertical="center"/>
    </xf>
    <xf numFmtId="0" fontId="24" fillId="40" borderId="122" xfId="0" applyFont="1" applyFill="1" applyBorder="1">
      <alignment vertical="center"/>
    </xf>
    <xf numFmtId="0" fontId="24" fillId="40" borderId="123" xfId="0" applyFont="1" applyFill="1" applyBorder="1">
      <alignment vertical="center"/>
    </xf>
    <xf numFmtId="0" fontId="24" fillId="40" borderId="124" xfId="0" applyFont="1" applyFill="1" applyBorder="1">
      <alignment vertical="center"/>
    </xf>
    <xf numFmtId="0" fontId="32" fillId="40" borderId="104" xfId="0" applyFont="1" applyFill="1" applyBorder="1">
      <alignment vertical="center"/>
    </xf>
    <xf numFmtId="0" fontId="31" fillId="85" borderId="110" xfId="0" applyFont="1" applyFill="1" applyBorder="1">
      <alignment vertical="center"/>
    </xf>
    <xf numFmtId="0" fontId="32" fillId="83" borderId="163" xfId="0" applyFont="1" applyFill="1" applyBorder="1">
      <alignment vertical="center"/>
    </xf>
    <xf numFmtId="0" fontId="24" fillId="83" borderId="159" xfId="0" applyFont="1" applyFill="1" applyBorder="1">
      <alignment vertical="center"/>
    </xf>
    <xf numFmtId="0" fontId="24" fillId="83" borderId="164" xfId="0" applyFont="1" applyFill="1" applyBorder="1">
      <alignment vertical="center"/>
    </xf>
    <xf numFmtId="0" fontId="24" fillId="41" borderId="86" xfId="0" applyFont="1" applyFill="1" applyBorder="1">
      <alignment vertical="center"/>
    </xf>
    <xf numFmtId="0" fontId="24" fillId="41" borderId="110" xfId="0" applyFont="1" applyFill="1" applyBorder="1">
      <alignment vertical="center"/>
    </xf>
    <xf numFmtId="0" fontId="24" fillId="41" borderId="105" xfId="0" applyFont="1" applyFill="1" applyBorder="1">
      <alignment vertical="center"/>
    </xf>
    <xf numFmtId="0" fontId="24" fillId="41" borderId="119" xfId="0" applyFont="1" applyFill="1" applyBorder="1">
      <alignment vertical="center"/>
    </xf>
    <xf numFmtId="0" fontId="24" fillId="41" borderId="116" xfId="0" applyFont="1" applyFill="1" applyBorder="1">
      <alignment vertical="center"/>
    </xf>
    <xf numFmtId="0" fontId="24" fillId="41" borderId="122" xfId="0" applyFont="1" applyFill="1" applyBorder="1">
      <alignment vertical="center"/>
    </xf>
    <xf numFmtId="0" fontId="24" fillId="41" borderId="123" xfId="0" applyFont="1" applyFill="1" applyBorder="1">
      <alignment vertical="center"/>
    </xf>
    <xf numFmtId="0" fontId="24" fillId="41" borderId="124" xfId="0" applyFont="1" applyFill="1" applyBorder="1">
      <alignment vertical="center"/>
    </xf>
    <xf numFmtId="0" fontId="32" fillId="41" borderId="104" xfId="0" applyFont="1" applyFill="1" applyBorder="1">
      <alignment vertical="center"/>
    </xf>
    <xf numFmtId="0" fontId="24" fillId="42" borderId="135" xfId="0" applyFont="1" applyFill="1" applyBorder="1">
      <alignment vertical="center"/>
    </xf>
    <xf numFmtId="0" fontId="24" fillId="42" borderId="137" xfId="0" applyFont="1" applyFill="1" applyBorder="1">
      <alignment vertical="center"/>
    </xf>
    <xf numFmtId="0" fontId="31" fillId="42" borderId="136" xfId="0" applyFont="1" applyFill="1" applyBorder="1">
      <alignment vertical="center"/>
    </xf>
    <xf numFmtId="0" fontId="24" fillId="72" borderId="86" xfId="0" applyFont="1" applyFill="1" applyBorder="1">
      <alignment vertical="center"/>
    </xf>
    <xf numFmtId="0" fontId="24" fillId="72" borderId="110" xfId="0" applyFont="1" applyFill="1" applyBorder="1">
      <alignment vertical="center"/>
    </xf>
    <xf numFmtId="0" fontId="24" fillId="41" borderId="87" xfId="0" applyFont="1" applyFill="1" applyBorder="1">
      <alignment vertical="center"/>
    </xf>
    <xf numFmtId="0" fontId="24" fillId="72" borderId="105" xfId="0" applyFont="1" applyFill="1" applyBorder="1">
      <alignment vertical="center"/>
    </xf>
    <xf numFmtId="0" fontId="24" fillId="72" borderId="119" xfId="0" applyFont="1" applyFill="1" applyBorder="1">
      <alignment vertical="center"/>
    </xf>
    <xf numFmtId="0" fontId="24" fillId="72" borderId="116" xfId="0" applyFont="1" applyFill="1" applyBorder="1">
      <alignment vertical="center"/>
    </xf>
    <xf numFmtId="0" fontId="24" fillId="72" borderId="122" xfId="0" applyFont="1" applyFill="1" applyBorder="1">
      <alignment vertical="center"/>
    </xf>
    <xf numFmtId="0" fontId="24" fillId="72" borderId="124" xfId="0" applyFont="1" applyFill="1" applyBorder="1">
      <alignment vertical="center"/>
    </xf>
    <xf numFmtId="0" fontId="32" fillId="72" borderId="104" xfId="0" applyFont="1" applyFill="1" applyBorder="1">
      <alignment vertical="center"/>
    </xf>
    <xf numFmtId="0" fontId="24" fillId="83" borderId="107" xfId="0" applyFont="1" applyFill="1" applyBorder="1">
      <alignment vertical="center"/>
    </xf>
    <xf numFmtId="0" fontId="24" fillId="83" borderId="108" xfId="0" applyFont="1" applyFill="1" applyBorder="1">
      <alignment vertical="center"/>
    </xf>
    <xf numFmtId="0" fontId="32" fillId="83" borderId="106" xfId="0" applyFont="1" applyFill="1" applyBorder="1">
      <alignment vertical="center"/>
    </xf>
    <xf numFmtId="0" fontId="24" fillId="30" borderId="165" xfId="0" applyFont="1" applyFill="1" applyBorder="1">
      <alignment vertical="center"/>
    </xf>
    <xf numFmtId="0" fontId="24" fillId="18" borderId="143" xfId="0" applyFont="1" applyFill="1" applyBorder="1">
      <alignment vertical="center"/>
    </xf>
    <xf numFmtId="0" fontId="31" fillId="85" borderId="135" xfId="0" applyFont="1" applyFill="1" applyBorder="1">
      <alignment vertical="center"/>
    </xf>
    <xf numFmtId="0" fontId="24" fillId="59" borderId="116" xfId="0" applyFont="1" applyFill="1" applyBorder="1">
      <alignment vertical="center"/>
    </xf>
    <xf numFmtId="0" fontId="24" fillId="59" borderId="122" xfId="0" applyFont="1" applyFill="1" applyBorder="1">
      <alignment vertical="center"/>
    </xf>
    <xf numFmtId="0" fontId="24" fillId="59" borderId="123" xfId="0" applyFont="1" applyFill="1" applyBorder="1">
      <alignment vertical="center"/>
    </xf>
    <xf numFmtId="0" fontId="24" fillId="59" borderId="124" xfId="0" applyFont="1" applyFill="1" applyBorder="1">
      <alignment vertical="center"/>
    </xf>
    <xf numFmtId="0" fontId="31" fillId="59" borderId="104" xfId="0" applyFont="1" applyFill="1" applyBorder="1">
      <alignment vertical="center"/>
    </xf>
    <xf numFmtId="0" fontId="31" fillId="85" borderId="85" xfId="0" applyFont="1" applyFill="1" applyBorder="1">
      <alignment vertical="center"/>
    </xf>
    <xf numFmtId="0" fontId="24" fillId="72" borderId="123" xfId="0" applyFont="1" applyFill="1" applyBorder="1">
      <alignment vertical="center"/>
    </xf>
    <xf numFmtId="0" fontId="32" fillId="69" borderId="86" xfId="0" applyFont="1" applyFill="1" applyBorder="1">
      <alignment vertical="center"/>
    </xf>
    <xf numFmtId="0" fontId="24" fillId="18" borderId="166" xfId="0" applyFont="1" applyFill="1" applyBorder="1">
      <alignment vertical="center"/>
    </xf>
    <xf numFmtId="0" fontId="32" fillId="69" borderId="83" xfId="0" applyFont="1" applyFill="1" applyBorder="1">
      <alignment vertical="center"/>
    </xf>
    <xf numFmtId="0" fontId="24" fillId="72" borderId="129" xfId="0" applyFont="1" applyFill="1" applyBorder="1">
      <alignment vertical="center"/>
    </xf>
    <xf numFmtId="0" fontId="24" fillId="36" borderId="82" xfId="0" applyFont="1" applyFill="1" applyBorder="1">
      <alignment vertical="center"/>
    </xf>
    <xf numFmtId="0" fontId="24" fillId="58" borderId="122" xfId="0" applyFont="1" applyFill="1" applyBorder="1">
      <alignment vertical="center"/>
    </xf>
    <xf numFmtId="0" fontId="24" fillId="58" borderId="116" xfId="0" applyFont="1" applyFill="1" applyBorder="1">
      <alignment vertical="center"/>
    </xf>
    <xf numFmtId="0" fontId="31" fillId="58" borderId="104" xfId="0" applyFont="1" applyFill="1" applyBorder="1">
      <alignment vertical="center"/>
    </xf>
    <xf numFmtId="0" fontId="31" fillId="85" borderId="92" xfId="0" applyFont="1" applyFill="1" applyBorder="1">
      <alignment vertical="center"/>
    </xf>
    <xf numFmtId="0" fontId="32" fillId="53" borderId="86" xfId="0" applyFont="1" applyFill="1" applyBorder="1">
      <alignment vertical="center"/>
    </xf>
    <xf numFmtId="0" fontId="24" fillId="20" borderId="156" xfId="0" applyFont="1" applyFill="1" applyBorder="1">
      <alignment vertical="center"/>
    </xf>
    <xf numFmtId="0" fontId="31" fillId="43" borderId="86" xfId="0" applyFont="1" applyFill="1" applyBorder="1">
      <alignment vertical="center"/>
    </xf>
    <xf numFmtId="0" fontId="24" fillId="20" borderId="161" xfId="0" applyFont="1" applyFill="1" applyBorder="1">
      <alignment vertical="center"/>
    </xf>
    <xf numFmtId="0" fontId="24" fillId="68" borderId="108" xfId="0" applyFont="1" applyFill="1" applyBorder="1">
      <alignment vertical="center"/>
    </xf>
    <xf numFmtId="0" fontId="31" fillId="68" borderId="106" xfId="0" applyFont="1" applyFill="1" applyBorder="1">
      <alignment vertical="center"/>
    </xf>
    <xf numFmtId="0" fontId="35" fillId="20" borderId="86" xfId="0" applyFont="1" applyFill="1" applyBorder="1">
      <alignment vertical="center"/>
    </xf>
    <xf numFmtId="0" fontId="24" fillId="26" borderId="83" xfId="0" applyFont="1" applyFill="1" applyBorder="1">
      <alignment vertical="center"/>
    </xf>
    <xf numFmtId="0" fontId="24" fillId="26" borderId="89" xfId="0" applyFont="1" applyFill="1" applyBorder="1">
      <alignment vertical="center"/>
    </xf>
    <xf numFmtId="0" fontId="24" fillId="26" borderId="92" xfId="0" applyFont="1" applyFill="1" applyBorder="1">
      <alignment vertical="center"/>
    </xf>
    <xf numFmtId="0" fontId="24" fillId="26" borderId="94" xfId="0" applyFont="1" applyFill="1" applyBorder="1">
      <alignment vertical="center"/>
    </xf>
    <xf numFmtId="0" fontId="24" fillId="26" borderId="95" xfId="0" applyFont="1" applyFill="1" applyBorder="1">
      <alignment vertical="center"/>
    </xf>
    <xf numFmtId="0" fontId="24" fillId="26" borderId="97" xfId="0" applyFont="1" applyFill="1" applyBorder="1">
      <alignment vertical="center"/>
    </xf>
    <xf numFmtId="0" fontId="24" fillId="26" borderId="98" xfId="0" applyFont="1" applyFill="1" applyBorder="1">
      <alignment vertical="center"/>
    </xf>
    <xf numFmtId="0" fontId="24" fillId="26" borderId="99" xfId="0" applyFont="1" applyFill="1" applyBorder="1">
      <alignment vertical="center"/>
    </xf>
    <xf numFmtId="0" fontId="24" fillId="26" borderId="100" xfId="0" applyFont="1" applyFill="1" applyBorder="1">
      <alignment vertical="center"/>
    </xf>
    <xf numFmtId="0" fontId="24" fillId="26" borderId="101" xfId="0" applyFont="1" applyFill="1" applyBorder="1">
      <alignment vertical="center"/>
    </xf>
    <xf numFmtId="0" fontId="24" fillId="26" borderId="102" xfId="0" applyFont="1" applyFill="1" applyBorder="1">
      <alignment vertical="center"/>
    </xf>
    <xf numFmtId="0" fontId="24" fillId="26" borderId="156" xfId="0" applyFont="1" applyFill="1" applyBorder="1">
      <alignment vertical="center"/>
    </xf>
    <xf numFmtId="0" fontId="24" fillId="49" borderId="105" xfId="0" applyFont="1" applyFill="1" applyBorder="1">
      <alignment vertical="center"/>
    </xf>
    <xf numFmtId="0" fontId="24" fillId="49" borderId="119" xfId="0" applyFont="1" applyFill="1" applyBorder="1">
      <alignment vertical="center"/>
    </xf>
    <xf numFmtId="0" fontId="24" fillId="49" borderId="116" xfId="0" applyFont="1" applyFill="1" applyBorder="1">
      <alignment vertical="center"/>
    </xf>
    <xf numFmtId="0" fontId="24" fillId="49" borderId="122" xfId="0" applyFont="1" applyFill="1" applyBorder="1">
      <alignment vertical="center"/>
    </xf>
    <xf numFmtId="0" fontId="24" fillId="49" borderId="124" xfId="0" applyFont="1" applyFill="1" applyBorder="1">
      <alignment vertical="center"/>
    </xf>
    <xf numFmtId="0" fontId="31" fillId="49" borderId="104" xfId="0" applyFont="1" applyFill="1" applyBorder="1">
      <alignment vertical="center"/>
    </xf>
    <xf numFmtId="0" fontId="31" fillId="38" borderId="86" xfId="0" applyFont="1" applyFill="1" applyBorder="1">
      <alignment vertical="center"/>
    </xf>
    <xf numFmtId="0" fontId="24" fillId="65" borderId="105" xfId="0" applyFont="1" applyFill="1" applyBorder="1">
      <alignment vertical="center"/>
    </xf>
    <xf numFmtId="0" fontId="24" fillId="65" borderId="119" xfId="0" applyFont="1" applyFill="1" applyBorder="1">
      <alignment vertical="center"/>
    </xf>
    <xf numFmtId="0" fontId="24" fillId="65" borderId="116" xfId="0" applyFont="1" applyFill="1" applyBorder="1">
      <alignment vertical="center"/>
    </xf>
    <xf numFmtId="0" fontId="24" fillId="65" borderId="122" xfId="0" applyFont="1" applyFill="1" applyBorder="1">
      <alignment vertical="center"/>
    </xf>
    <xf numFmtId="0" fontId="24" fillId="65" borderId="124" xfId="0" applyFont="1" applyFill="1" applyBorder="1">
      <alignment vertical="center"/>
    </xf>
    <xf numFmtId="0" fontId="42" fillId="65" borderId="104" xfId="0" applyFont="1" applyFill="1" applyBorder="1">
      <alignment vertical="center"/>
    </xf>
    <xf numFmtId="0" fontId="31" fillId="80" borderId="95" xfId="0" applyFont="1" applyFill="1" applyBorder="1">
      <alignment vertical="center"/>
    </xf>
    <xf numFmtId="0" fontId="24" fillId="26" borderId="160" xfId="0" applyFont="1" applyFill="1" applyBorder="1">
      <alignment vertical="center"/>
    </xf>
    <xf numFmtId="0" fontId="32" fillId="67" borderId="86" xfId="0" applyFont="1" applyFill="1" applyBorder="1">
      <alignment vertical="center"/>
    </xf>
    <xf numFmtId="0" fontId="24" fillId="66" borderId="107" xfId="0" applyFont="1" applyFill="1" applyBorder="1">
      <alignment vertical="center"/>
    </xf>
    <xf numFmtId="0" fontId="24" fillId="66" borderId="108" xfId="0" applyFont="1" applyFill="1" applyBorder="1">
      <alignment vertical="center"/>
    </xf>
    <xf numFmtId="0" fontId="32" fillId="66" borderId="106" xfId="0" applyFont="1" applyFill="1" applyBorder="1">
      <alignment vertical="center"/>
    </xf>
    <xf numFmtId="0" fontId="24" fillId="18" borderId="107" xfId="0" applyFont="1" applyFill="1" applyBorder="1">
      <alignment vertical="center"/>
    </xf>
    <xf numFmtId="0" fontId="31" fillId="78" borderId="106" xfId="0" applyFont="1" applyFill="1" applyBorder="1">
      <alignment vertical="center"/>
    </xf>
    <xf numFmtId="0" fontId="31" fillId="78" borderId="107" xfId="0" applyFont="1" applyFill="1" applyBorder="1">
      <alignment vertical="center"/>
    </xf>
    <xf numFmtId="0" fontId="31" fillId="78" borderId="108" xfId="0" applyFont="1" applyFill="1" applyBorder="1">
      <alignment vertical="center"/>
    </xf>
    <xf numFmtId="0" fontId="24" fillId="73" borderId="105" xfId="0" applyFont="1" applyFill="1" applyBorder="1">
      <alignment vertical="center"/>
    </xf>
    <xf numFmtId="0" fontId="24" fillId="73" borderId="119" xfId="0" applyFont="1" applyFill="1" applyBorder="1">
      <alignment vertical="center"/>
    </xf>
    <xf numFmtId="0" fontId="24" fillId="73" borderId="116" xfId="0" applyFont="1" applyFill="1" applyBorder="1">
      <alignment vertical="center"/>
    </xf>
    <xf numFmtId="0" fontId="24" fillId="73" borderId="122" xfId="0" applyFont="1" applyFill="1" applyBorder="1">
      <alignment vertical="center"/>
    </xf>
    <xf numFmtId="0" fontId="24" fillId="73" borderId="124" xfId="0" applyFont="1" applyFill="1" applyBorder="1">
      <alignment vertical="center"/>
    </xf>
    <xf numFmtId="0" fontId="32" fillId="73" borderId="104" xfId="0" applyFont="1" applyFill="1" applyBorder="1">
      <alignment vertical="center"/>
    </xf>
    <xf numFmtId="0" fontId="24" fillId="19" borderId="112" xfId="0" applyFont="1" applyFill="1" applyBorder="1">
      <alignment vertical="center"/>
    </xf>
    <xf numFmtId="0" fontId="24" fillId="81" borderId="107" xfId="0" applyFont="1" applyFill="1" applyBorder="1">
      <alignment vertical="center"/>
    </xf>
    <xf numFmtId="0" fontId="24" fillId="81" borderId="108" xfId="0" applyFont="1" applyFill="1" applyBorder="1">
      <alignment vertical="center"/>
    </xf>
    <xf numFmtId="0" fontId="32" fillId="81" borderId="106" xfId="0" applyFont="1" applyFill="1" applyBorder="1">
      <alignment vertical="center"/>
    </xf>
    <xf numFmtId="0" fontId="24" fillId="19" borderId="133" xfId="0" applyFont="1" applyFill="1" applyBorder="1">
      <alignment vertical="center"/>
    </xf>
    <xf numFmtId="0" fontId="24" fillId="18" borderId="115" xfId="0" applyFont="1" applyFill="1" applyBorder="1">
      <alignment vertical="center"/>
    </xf>
    <xf numFmtId="0" fontId="24" fillId="19" borderId="167" xfId="0" applyFont="1" applyFill="1" applyBorder="1">
      <alignment vertical="center"/>
    </xf>
    <xf numFmtId="0" fontId="24" fillId="19" borderId="161" xfId="0" applyFont="1" applyFill="1" applyBorder="1">
      <alignment vertical="center"/>
    </xf>
    <xf numFmtId="0" fontId="24" fillId="19" borderId="168" xfId="0" applyFont="1" applyFill="1" applyBorder="1">
      <alignment vertical="center"/>
    </xf>
    <xf numFmtId="0" fontId="24" fillId="19" borderId="143" xfId="0" applyFont="1" applyFill="1" applyBorder="1">
      <alignment vertical="center"/>
    </xf>
    <xf numFmtId="0" fontId="38" fillId="33" borderId="79" xfId="0" applyFont="1" applyFill="1" applyBorder="1">
      <alignment vertical="center"/>
    </xf>
    <xf numFmtId="0" fontId="35" fillId="19" borderId="86" xfId="0" applyFont="1" applyFill="1" applyBorder="1">
      <alignment vertical="center"/>
    </xf>
    <xf numFmtId="0" fontId="24" fillId="53" borderId="107" xfId="0" applyFont="1" applyFill="1" applyBorder="1">
      <alignment vertical="center"/>
    </xf>
    <xf numFmtId="0" fontId="24" fillId="53" borderId="108" xfId="0" applyFont="1" applyFill="1" applyBorder="1">
      <alignment vertical="center"/>
    </xf>
    <xf numFmtId="0" fontId="32" fillId="53" borderId="106" xfId="0" applyFont="1" applyFill="1" applyBorder="1">
      <alignment vertical="center"/>
    </xf>
    <xf numFmtId="0" fontId="32" fillId="87" borderId="86" xfId="0" applyFont="1" applyFill="1" applyBorder="1">
      <alignment vertical="center"/>
    </xf>
    <xf numFmtId="0" fontId="24" fillId="18" borderId="142" xfId="0" applyFont="1" applyFill="1" applyBorder="1">
      <alignment vertical="center"/>
    </xf>
    <xf numFmtId="0" fontId="24" fillId="67" borderId="137" xfId="0" applyFont="1" applyFill="1" applyBorder="1">
      <alignment vertical="center"/>
    </xf>
    <xf numFmtId="0" fontId="32" fillId="67" borderId="136" xfId="0" applyFont="1" applyFill="1" applyBorder="1">
      <alignment vertical="center"/>
    </xf>
    <xf numFmtId="0" fontId="31" fillId="32" borderId="163" xfId="0" applyFont="1" applyFill="1" applyBorder="1">
      <alignment vertical="center"/>
    </xf>
    <xf numFmtId="0" fontId="24" fillId="32" borderId="159" xfId="0" applyFont="1" applyFill="1" applyBorder="1">
      <alignment vertical="center"/>
    </xf>
    <xf numFmtId="0" fontId="24" fillId="48" borderId="119" xfId="0" applyFont="1" applyFill="1" applyBorder="1">
      <alignment vertical="center"/>
    </xf>
    <xf numFmtId="0" fontId="24" fillId="48" borderId="116" xfId="0" applyFont="1" applyFill="1" applyBorder="1">
      <alignment vertical="center"/>
    </xf>
    <xf numFmtId="0" fontId="24" fillId="48" borderId="122" xfId="0" applyFont="1" applyFill="1" applyBorder="1">
      <alignment vertical="center"/>
    </xf>
    <xf numFmtId="0" fontId="24" fillId="48" borderId="123" xfId="0" applyFont="1" applyFill="1" applyBorder="1">
      <alignment vertical="center"/>
    </xf>
    <xf numFmtId="0" fontId="24" fillId="48" borderId="124" xfId="0" applyFont="1" applyFill="1" applyBorder="1">
      <alignment vertical="center"/>
    </xf>
    <xf numFmtId="0" fontId="31" fillId="48" borderId="104" xfId="0" applyFont="1" applyFill="1" applyBorder="1">
      <alignment vertical="center"/>
    </xf>
    <xf numFmtId="0" fontId="32" fillId="82" borderId="83" xfId="0" applyFont="1" applyFill="1" applyBorder="1">
      <alignment vertical="center"/>
    </xf>
    <xf numFmtId="0" fontId="32" fillId="77" borderId="86" xfId="0" applyFont="1" applyFill="1" applyBorder="1">
      <alignment vertical="center"/>
    </xf>
    <xf numFmtId="0" fontId="24" fillId="50" borderId="137" xfId="0" applyFont="1" applyFill="1" applyBorder="1">
      <alignment vertical="center"/>
    </xf>
    <xf numFmtId="0" fontId="31" fillId="50" borderId="136" xfId="0" applyFont="1" applyFill="1" applyBorder="1">
      <alignment vertical="center"/>
    </xf>
    <xf numFmtId="0" fontId="24" fillId="33" borderId="135" xfId="0" applyFont="1" applyFill="1" applyBorder="1">
      <alignment vertical="center"/>
    </xf>
    <xf numFmtId="0" fontId="32" fillId="33" borderId="136" xfId="0" applyFont="1" applyFill="1" applyBorder="1">
      <alignment vertical="center"/>
    </xf>
    <xf numFmtId="0" fontId="24" fillId="33" borderId="158" xfId="0" applyFont="1" applyFill="1" applyBorder="1">
      <alignment vertical="center"/>
    </xf>
    <xf numFmtId="0" fontId="24" fillId="19" borderId="111" xfId="0" applyFont="1" applyFill="1" applyBorder="1">
      <alignment vertical="center"/>
    </xf>
    <xf numFmtId="0" fontId="24" fillId="19" borderId="169" xfId="0" applyFont="1" applyFill="1" applyBorder="1">
      <alignment vertical="center"/>
    </xf>
    <xf numFmtId="0" fontId="24" fillId="33" borderId="170" xfId="0" applyFont="1" applyFill="1" applyBorder="1">
      <alignment vertical="center"/>
    </xf>
    <xf numFmtId="0" fontId="24" fillId="74" borderId="125" xfId="0" applyFont="1" applyFill="1" applyBorder="1">
      <alignment vertical="center"/>
    </xf>
    <xf numFmtId="0" fontId="24" fillId="74" borderId="138" xfId="0" applyFont="1" applyFill="1" applyBorder="1">
      <alignment vertical="center"/>
    </xf>
    <xf numFmtId="0" fontId="32" fillId="81" borderId="95" xfId="0" applyFont="1" applyFill="1" applyBorder="1">
      <alignment vertical="center"/>
    </xf>
    <xf numFmtId="0" fontId="24" fillId="34" borderId="107" xfId="0" applyFont="1" applyFill="1" applyBorder="1">
      <alignment vertical="center"/>
    </xf>
    <xf numFmtId="0" fontId="24" fillId="34" borderId="108" xfId="0" applyFont="1" applyFill="1" applyBorder="1">
      <alignment vertical="center"/>
    </xf>
    <xf numFmtId="0" fontId="31" fillId="34" borderId="106" xfId="0" applyFont="1" applyFill="1" applyBorder="1">
      <alignment vertical="center"/>
    </xf>
    <xf numFmtId="0" fontId="24" fillId="22" borderId="160" xfId="0" applyFont="1" applyFill="1" applyBorder="1">
      <alignment vertical="center"/>
    </xf>
    <xf numFmtId="0" fontId="24" fillId="34" borderId="115" xfId="0" applyFont="1" applyFill="1" applyBorder="1">
      <alignment vertical="center"/>
    </xf>
    <xf numFmtId="0" fontId="24" fillId="23" borderId="82" xfId="0" applyFont="1" applyFill="1" applyBorder="1">
      <alignment vertical="center"/>
    </xf>
    <xf numFmtId="0" fontId="24" fillId="23" borderId="83" xfId="0" applyFont="1" applyFill="1" applyBorder="1">
      <alignment vertical="center"/>
    </xf>
    <xf numFmtId="0" fontId="24" fillId="23" borderId="84" xfId="0" applyFont="1" applyFill="1" applyBorder="1">
      <alignment vertical="center"/>
    </xf>
    <xf numFmtId="0" fontId="24" fillId="23" borderId="87" xfId="0" applyFont="1" applyFill="1" applyBorder="1">
      <alignment vertical="center"/>
    </xf>
    <xf numFmtId="0" fontId="24" fillId="23" borderId="89" xfId="0" applyFont="1" applyFill="1" applyBorder="1">
      <alignment vertical="center"/>
    </xf>
    <xf numFmtId="0" fontId="24" fillId="23" borderId="91" xfId="0" applyFont="1" applyFill="1" applyBorder="1">
      <alignment vertical="center"/>
    </xf>
    <xf numFmtId="0" fontId="24" fillId="23" borderId="92" xfId="0" applyFont="1" applyFill="1" applyBorder="1">
      <alignment vertical="center"/>
    </xf>
    <xf numFmtId="0" fontId="24" fillId="23" borderId="93" xfId="0" applyFont="1" applyFill="1" applyBorder="1">
      <alignment vertical="center"/>
    </xf>
    <xf numFmtId="0" fontId="24" fillId="23" borderId="94" xfId="0" applyFont="1" applyFill="1" applyBorder="1">
      <alignment vertical="center"/>
    </xf>
    <xf numFmtId="0" fontId="24" fillId="23" borderId="95" xfId="0" applyFont="1" applyFill="1" applyBorder="1">
      <alignment vertical="center"/>
    </xf>
    <xf numFmtId="0" fontId="24" fillId="23" borderId="96" xfId="0" applyFont="1" applyFill="1" applyBorder="1">
      <alignment vertical="center"/>
    </xf>
    <xf numFmtId="0" fontId="24" fillId="23" borderId="98" xfId="0" applyFont="1" applyFill="1" applyBorder="1">
      <alignment vertical="center"/>
    </xf>
    <xf numFmtId="0" fontId="24" fillId="23" borderId="100" xfId="0" applyFont="1" applyFill="1" applyBorder="1">
      <alignment vertical="center"/>
    </xf>
    <xf numFmtId="0" fontId="24" fillId="23" borderId="101" xfId="0" applyFont="1" applyFill="1" applyBorder="1">
      <alignment vertical="center"/>
    </xf>
    <xf numFmtId="0" fontId="24" fillId="23" borderId="152" xfId="0" applyFont="1" applyFill="1" applyBorder="1">
      <alignment vertical="center"/>
    </xf>
    <xf numFmtId="0" fontId="39" fillId="40" borderId="104" xfId="0" applyFont="1" applyFill="1" applyBorder="1">
      <alignment vertical="center"/>
    </xf>
    <xf numFmtId="0" fontId="24" fillId="81" borderId="119" xfId="0" applyFont="1" applyFill="1" applyBorder="1">
      <alignment vertical="center"/>
    </xf>
    <xf numFmtId="0" fontId="24" fillId="81" borderId="122" xfId="0" applyFont="1" applyFill="1" applyBorder="1">
      <alignment vertical="center"/>
    </xf>
    <xf numFmtId="0" fontId="24" fillId="81" borderId="124" xfId="0" applyFont="1" applyFill="1" applyBorder="1">
      <alignment vertical="center"/>
    </xf>
    <xf numFmtId="0" fontId="32" fillId="81" borderId="104" xfId="0" applyFont="1" applyFill="1" applyBorder="1">
      <alignment vertical="center"/>
    </xf>
    <xf numFmtId="0" fontId="35" fillId="23" borderId="86" xfId="0" applyFont="1" applyFill="1" applyBorder="1">
      <alignment vertical="center"/>
    </xf>
    <xf numFmtId="0" fontId="24" fillId="70" borderId="135" xfId="0" applyFont="1" applyFill="1" applyBorder="1">
      <alignment vertical="center"/>
    </xf>
    <xf numFmtId="0" fontId="24" fillId="70" borderId="137" xfId="0" applyFont="1" applyFill="1" applyBorder="1">
      <alignment vertical="center"/>
    </xf>
    <xf numFmtId="0" fontId="31" fillId="70" borderId="136" xfId="0" applyFont="1" applyFill="1" applyBorder="1">
      <alignment vertical="center"/>
    </xf>
    <xf numFmtId="0" fontId="24" fillId="23" borderId="109" xfId="0" applyFont="1" applyFill="1" applyBorder="1">
      <alignment vertical="center"/>
    </xf>
    <xf numFmtId="0" fontId="24" fillId="23" borderId="103" xfId="0" applyFont="1" applyFill="1" applyBorder="1">
      <alignment vertical="center"/>
    </xf>
    <xf numFmtId="0" fontId="24" fillId="23" borderId="111" xfId="0" applyFont="1" applyFill="1" applyBorder="1">
      <alignment vertical="center"/>
    </xf>
    <xf numFmtId="0" fontId="24" fillId="23" borderId="112" xfId="0" applyFont="1" applyFill="1" applyBorder="1">
      <alignment vertical="center"/>
    </xf>
    <xf numFmtId="0" fontId="24" fillId="23" borderId="113" xfId="0" applyFont="1" applyFill="1" applyBorder="1">
      <alignment vertical="center"/>
    </xf>
    <xf numFmtId="0" fontId="32" fillId="81" borderId="86" xfId="0" applyFont="1" applyFill="1" applyBorder="1">
      <alignment vertical="center"/>
    </xf>
    <xf numFmtId="0" fontId="43" fillId="0" borderId="0" xfId="0" applyFont="1">
      <alignment vertical="center"/>
    </xf>
    <xf numFmtId="0" fontId="45" fillId="0" borderId="0" xfId="0" applyFont="1">
      <alignment vertical="center"/>
    </xf>
    <xf numFmtId="0" fontId="24" fillId="17" borderId="0" xfId="0" applyFont="1" applyFill="1">
      <alignment vertical="center"/>
    </xf>
    <xf numFmtId="0" fontId="45" fillId="17" borderId="86" xfId="0" applyFont="1" applyFill="1" applyBorder="1" applyAlignment="1">
      <alignment horizontal="center" vertical="center"/>
    </xf>
    <xf numFmtId="0" fontId="45" fillId="17" borderId="87" xfId="0" applyFont="1" applyFill="1" applyBorder="1" applyAlignment="1">
      <alignment horizontal="center" vertical="center"/>
    </xf>
    <xf numFmtId="0" fontId="45" fillId="51" borderId="110" xfId="0" applyFont="1" applyFill="1" applyBorder="1" applyAlignment="1">
      <alignment horizontal="center" vertical="center"/>
    </xf>
    <xf numFmtId="0" fontId="45" fillId="51" borderId="86" xfId="0" applyFont="1" applyFill="1" applyBorder="1" applyAlignment="1">
      <alignment horizontal="center" vertical="center"/>
    </xf>
    <xf numFmtId="0" fontId="45" fillId="51" borderId="87" xfId="0" applyFont="1" applyFill="1" applyBorder="1" applyAlignment="1">
      <alignment horizontal="center" vertical="center"/>
    </xf>
    <xf numFmtId="0" fontId="45" fillId="37" borderId="110" xfId="0" applyFont="1" applyFill="1" applyBorder="1" applyAlignment="1">
      <alignment horizontal="center" vertical="center"/>
    </xf>
    <xf numFmtId="0" fontId="45" fillId="37" borderId="123" xfId="0" applyFont="1" applyFill="1" applyBorder="1" applyAlignment="1">
      <alignment horizontal="center" vertical="center"/>
    </xf>
    <xf numFmtId="0" fontId="45" fillId="17" borderId="85" xfId="0" applyFont="1" applyFill="1" applyBorder="1" applyAlignment="1">
      <alignment horizontal="center" vertical="center"/>
    </xf>
    <xf numFmtId="0" fontId="45" fillId="37" borderId="87" xfId="0" applyFont="1" applyFill="1" applyBorder="1" applyAlignment="1">
      <alignment horizontal="center" vertical="center"/>
    </xf>
    <xf numFmtId="0" fontId="45" fillId="47" borderId="136" xfId="0" applyFont="1" applyFill="1" applyBorder="1" applyAlignment="1">
      <alignment horizontal="center" vertical="center"/>
    </xf>
    <xf numFmtId="0" fontId="45" fillId="29" borderId="85" xfId="0" applyFont="1" applyFill="1" applyBorder="1" applyAlignment="1">
      <alignment horizontal="center" vertical="center"/>
    </xf>
    <xf numFmtId="0" fontId="45" fillId="29" borderId="83" xfId="0" applyFont="1" applyFill="1" applyBorder="1" applyAlignment="1">
      <alignment horizontal="center" vertical="center"/>
    </xf>
    <xf numFmtId="0" fontId="45" fillId="29" borderId="86" xfId="0" applyFont="1" applyFill="1" applyBorder="1" applyAlignment="1">
      <alignment horizontal="center" vertical="center"/>
    </xf>
    <xf numFmtId="0" fontId="45" fillId="28" borderId="86" xfId="0" applyFont="1" applyFill="1" applyBorder="1" applyAlignment="1">
      <alignment horizontal="center" vertical="center"/>
    </xf>
    <xf numFmtId="0" fontId="45" fillId="28" borderId="87" xfId="0" applyFont="1" applyFill="1" applyBorder="1" applyAlignment="1">
      <alignment horizontal="center" vertical="center"/>
    </xf>
    <xf numFmtId="0" fontId="45" fillId="29" borderId="87" xfId="0" applyFont="1" applyFill="1" applyBorder="1" applyAlignment="1">
      <alignment horizontal="center" vertical="center"/>
    </xf>
    <xf numFmtId="0" fontId="45" fillId="47" borderId="140" xfId="0" applyFont="1" applyFill="1" applyBorder="1" applyAlignment="1">
      <alignment horizontal="center" vertical="center"/>
    </xf>
    <xf numFmtId="0" fontId="45" fillId="31" borderId="146" xfId="0" applyFont="1" applyFill="1" applyBorder="1" applyAlignment="1">
      <alignment horizontal="center" vertical="center"/>
    </xf>
    <xf numFmtId="0" fontId="45" fillId="31" borderId="89" xfId="0" applyFont="1" applyFill="1" applyBorder="1" applyAlignment="1">
      <alignment horizontal="center" vertical="center"/>
    </xf>
    <xf numFmtId="0" fontId="45" fillId="31" borderId="147" xfId="0" applyFont="1" applyFill="1" applyBorder="1" applyAlignment="1">
      <alignment horizontal="center" vertical="center"/>
    </xf>
    <xf numFmtId="0" fontId="26" fillId="0" borderId="151" xfId="0" applyFont="1" applyBorder="1">
      <alignment vertical="center"/>
    </xf>
    <xf numFmtId="0" fontId="45" fillId="21" borderId="86" xfId="0" applyFont="1" applyFill="1" applyBorder="1" applyAlignment="1">
      <alignment horizontal="center" vertical="center"/>
    </xf>
    <xf numFmtId="0" fontId="45" fillId="21" borderId="83" xfId="0" applyFont="1" applyFill="1" applyBorder="1" applyAlignment="1">
      <alignment horizontal="center" vertical="center"/>
    </xf>
    <xf numFmtId="0" fontId="45" fillId="21" borderId="87" xfId="0" applyFont="1" applyFill="1" applyBorder="1" applyAlignment="1">
      <alignment horizontal="center" vertical="center"/>
    </xf>
    <xf numFmtId="0" fontId="45" fillId="36" borderId="110" xfId="0" applyFont="1" applyFill="1" applyBorder="1" applyAlignment="1">
      <alignment horizontal="center" vertical="center"/>
    </xf>
    <xf numFmtId="0" fontId="45" fillId="36" borderId="86" xfId="0" applyFont="1" applyFill="1" applyBorder="1" applyAlignment="1">
      <alignment horizontal="center" vertical="center"/>
    </xf>
    <xf numFmtId="0" fontId="45" fillId="36" borderId="123" xfId="0" applyFont="1" applyFill="1" applyBorder="1" applyAlignment="1">
      <alignment horizontal="center" vertical="center"/>
    </xf>
    <xf numFmtId="0" fontId="45" fillId="21" borderId="85" xfId="0" applyFont="1" applyFill="1" applyBorder="1" applyAlignment="1">
      <alignment horizontal="center" vertical="center"/>
    </xf>
    <xf numFmtId="0" fontId="45" fillId="21" borderId="143" xfId="0" applyFont="1" applyFill="1" applyBorder="1" applyAlignment="1">
      <alignment horizontal="center" vertical="center"/>
    </xf>
    <xf numFmtId="0" fontId="45" fillId="42" borderId="119" xfId="0" applyFont="1" applyFill="1" applyBorder="1" applyAlignment="1">
      <alignment horizontal="center" vertical="center"/>
    </xf>
    <xf numFmtId="0" fontId="45" fillId="42" borderId="110" xfId="0" applyFont="1" applyFill="1" applyBorder="1" applyAlignment="1">
      <alignment horizontal="center" vertical="center"/>
    </xf>
    <xf numFmtId="0" fontId="45" fillId="17" borderId="146" xfId="0" applyFont="1" applyFill="1" applyBorder="1" applyAlignment="1">
      <alignment horizontal="center" vertical="center"/>
    </xf>
    <xf numFmtId="0" fontId="45" fillId="17" borderId="89" xfId="0" applyFont="1" applyFill="1" applyBorder="1" applyAlignment="1">
      <alignment horizontal="center" vertical="center"/>
    </xf>
    <xf numFmtId="0" fontId="45" fillId="17" borderId="90" xfId="0" applyFont="1" applyFill="1" applyBorder="1" applyAlignment="1">
      <alignment horizontal="center" vertical="center"/>
    </xf>
    <xf numFmtId="0" fontId="45" fillId="56" borderId="110" xfId="0" applyFont="1" applyFill="1" applyBorder="1" applyAlignment="1">
      <alignment horizontal="center" vertical="center"/>
    </xf>
    <xf numFmtId="0" fontId="45" fillId="56" borderId="86" xfId="0" applyFont="1" applyFill="1" applyBorder="1" applyAlignment="1">
      <alignment horizontal="center" vertical="center"/>
    </xf>
    <xf numFmtId="0" fontId="45" fillId="17" borderId="116" xfId="0" applyFont="1" applyFill="1" applyBorder="1" applyAlignment="1">
      <alignment horizontal="center" vertical="center"/>
    </xf>
    <xf numFmtId="0" fontId="45" fillId="22" borderId="83" xfId="0" applyFont="1" applyFill="1" applyBorder="1" applyAlignment="1">
      <alignment horizontal="center" vertical="center"/>
    </xf>
    <xf numFmtId="0" fontId="45" fillId="22" borderId="86" xfId="0" applyFont="1" applyFill="1" applyBorder="1" applyAlignment="1">
      <alignment horizontal="center" vertical="center"/>
    </xf>
    <xf numFmtId="0" fontId="45" fillId="22" borderId="89" xfId="0" applyFont="1" applyFill="1" applyBorder="1" applyAlignment="1">
      <alignment horizontal="center" vertical="center"/>
    </xf>
    <xf numFmtId="0" fontId="45" fillId="24" borderId="83" xfId="0" applyFont="1" applyFill="1" applyBorder="1" applyAlignment="1">
      <alignment horizontal="center" vertical="center"/>
    </xf>
    <xf numFmtId="0" fontId="45" fillId="24" borderId="86" xfId="0" applyFont="1" applyFill="1" applyBorder="1" applyAlignment="1">
      <alignment horizontal="center" vertical="center"/>
    </xf>
    <xf numFmtId="0" fontId="45" fillId="24" borderId="89" xfId="0" applyFont="1" applyFill="1" applyBorder="1" applyAlignment="1">
      <alignment horizontal="center" vertical="center"/>
    </xf>
    <xf numFmtId="0" fontId="45" fillId="64" borderId="116" xfId="0" applyFont="1" applyFill="1" applyBorder="1" applyAlignment="1">
      <alignment horizontal="center" vertical="center"/>
    </xf>
    <xf numFmtId="0" fontId="45" fillId="64" borderId="86" xfId="0" applyFont="1" applyFill="1" applyBorder="1" applyAlignment="1">
      <alignment horizontal="center" vertical="center"/>
    </xf>
    <xf numFmtId="0" fontId="45" fillId="25" borderId="85" xfId="0" applyFont="1" applyFill="1" applyBorder="1" applyAlignment="1">
      <alignment horizontal="center" vertical="center"/>
    </xf>
    <xf numFmtId="0" fontId="45" fillId="25" borderId="86" xfId="0" applyFont="1" applyFill="1" applyBorder="1" applyAlignment="1">
      <alignment horizontal="center" vertical="center"/>
    </xf>
    <xf numFmtId="0" fontId="45" fillId="25" borderId="83" xfId="0" applyFont="1" applyFill="1" applyBorder="1" applyAlignment="1">
      <alignment horizontal="center" vertical="center"/>
    </xf>
    <xf numFmtId="0" fontId="45" fillId="17" borderId="83" xfId="0" applyFont="1" applyFill="1" applyBorder="1" applyAlignment="1">
      <alignment horizontal="center" vertical="center"/>
    </xf>
    <xf numFmtId="0" fontId="45" fillId="71" borderId="116" xfId="0" applyFont="1" applyFill="1" applyBorder="1" applyAlignment="1">
      <alignment horizontal="center" vertical="center"/>
    </xf>
    <xf numFmtId="0" fontId="45" fillId="71" borderId="86" xfId="0" applyFont="1" applyFill="1" applyBorder="1" applyAlignment="1">
      <alignment horizontal="center" vertical="center"/>
    </xf>
    <xf numFmtId="0" fontId="45" fillId="42" borderId="116" xfId="0" applyFont="1" applyFill="1" applyBorder="1" applyAlignment="1">
      <alignment horizontal="center" vertical="center"/>
    </xf>
    <xf numFmtId="0" fontId="45" fillId="42" borderId="86" xfId="0" applyFont="1" applyFill="1" applyBorder="1" applyAlignment="1">
      <alignment horizontal="center" vertical="center"/>
    </xf>
    <xf numFmtId="0" fontId="45" fillId="18" borderId="86" xfId="0" applyFont="1" applyFill="1" applyBorder="1" applyAlignment="1">
      <alignment horizontal="center" vertical="center"/>
    </xf>
    <xf numFmtId="0" fontId="45" fillId="18" borderId="89" xfId="0" applyFont="1" applyFill="1" applyBorder="1" applyAlignment="1">
      <alignment horizontal="center" vertical="center"/>
    </xf>
    <xf numFmtId="0" fontId="45" fillId="53" borderId="124" xfId="0" applyFont="1" applyFill="1" applyBorder="1" applyAlignment="1">
      <alignment horizontal="center" vertical="center"/>
    </xf>
    <xf numFmtId="0" fontId="45" fillId="18" borderId="83" xfId="0" applyFont="1" applyFill="1" applyBorder="1" applyAlignment="1">
      <alignment horizontal="center" vertical="center"/>
    </xf>
    <xf numFmtId="0" fontId="45" fillId="18" borderId="85" xfId="0" applyFont="1" applyFill="1" applyBorder="1" applyAlignment="1">
      <alignment horizontal="center" vertical="center"/>
    </xf>
    <xf numFmtId="0" fontId="45" fillId="19" borderId="85" xfId="0" applyFont="1" applyFill="1" applyBorder="1" applyAlignment="1">
      <alignment horizontal="center" vertical="center"/>
    </xf>
    <xf numFmtId="0" fontId="45" fillId="19" borderId="86" xfId="0" applyFont="1" applyFill="1" applyBorder="1" applyAlignment="1">
      <alignment horizontal="center" vertical="center"/>
    </xf>
    <xf numFmtId="0" fontId="45" fillId="19" borderId="87" xfId="0" applyFont="1" applyFill="1" applyBorder="1" applyAlignment="1">
      <alignment horizontal="center" vertical="center"/>
    </xf>
    <xf numFmtId="0" fontId="45" fillId="59" borderId="107" xfId="0" applyFont="1" applyFill="1" applyBorder="1" applyAlignment="1">
      <alignment horizontal="center" vertical="center"/>
    </xf>
    <xf numFmtId="0" fontId="45" fillId="59" borderId="108" xfId="0" applyFont="1" applyFill="1" applyBorder="1" applyAlignment="1">
      <alignment horizontal="center" vertical="center"/>
    </xf>
    <xf numFmtId="0" fontId="45" fillId="19" borderId="83" xfId="0" applyFont="1" applyFill="1" applyBorder="1" applyAlignment="1">
      <alignment horizontal="center" vertical="center"/>
    </xf>
    <xf numFmtId="0" fontId="45" fillId="22" borderId="85" xfId="0" applyFont="1" applyFill="1" applyBorder="1" applyAlignment="1">
      <alignment horizontal="center" vertical="center"/>
    </xf>
    <xf numFmtId="0" fontId="45" fillId="44" borderId="116" xfId="0" applyFont="1" applyFill="1" applyBorder="1" applyAlignment="1">
      <alignment horizontal="center" vertical="center"/>
    </xf>
    <xf numFmtId="0" fontId="45" fillId="44" borderId="86" xfId="0" applyFont="1" applyFill="1" applyBorder="1" applyAlignment="1">
      <alignment horizontal="center" vertical="center"/>
    </xf>
    <xf numFmtId="0" fontId="45" fillId="44" borderId="105" xfId="0" applyFont="1" applyFill="1" applyBorder="1" applyAlignment="1">
      <alignment horizontal="center" vertical="center"/>
    </xf>
    <xf numFmtId="0" fontId="45" fillId="20" borderId="89" xfId="0" applyFont="1" applyFill="1" applyBorder="1" applyAlignment="1">
      <alignment horizontal="center" vertical="center"/>
    </xf>
    <xf numFmtId="0" fontId="45" fillId="20" borderId="86" xfId="0" applyFont="1" applyFill="1" applyBorder="1" applyAlignment="1">
      <alignment horizontal="center" vertical="center"/>
    </xf>
    <xf numFmtId="0" fontId="45" fillId="20" borderId="83" xfId="0" applyFont="1" applyFill="1" applyBorder="1" applyAlignment="1">
      <alignment horizontal="center" vertical="center"/>
    </xf>
    <xf numFmtId="0" fontId="45" fillId="26" borderId="116" xfId="0" applyFont="1" applyFill="1" applyBorder="1" applyAlignment="1">
      <alignment horizontal="center" vertical="center"/>
    </xf>
    <xf numFmtId="0" fontId="45" fillId="26" borderId="86" xfId="0" applyFont="1" applyFill="1" applyBorder="1" applyAlignment="1">
      <alignment horizontal="center" vertical="center"/>
    </xf>
    <xf numFmtId="0" fontId="45" fillId="36" borderId="116" xfId="0" applyFont="1" applyFill="1" applyBorder="1" applyAlignment="1">
      <alignment horizontal="center" vertical="center"/>
    </xf>
    <xf numFmtId="0" fontId="45" fillId="72" borderId="119" xfId="0" applyFont="1" applyFill="1" applyBorder="1" applyAlignment="1">
      <alignment horizontal="center" vertical="center"/>
    </xf>
    <xf numFmtId="0" fontId="45" fillId="72" borderId="124" xfId="0" applyFont="1" applyFill="1" applyBorder="1" applyAlignment="1">
      <alignment horizontal="center" vertical="center"/>
    </xf>
    <xf numFmtId="0" fontId="45" fillId="18" borderId="87" xfId="0" applyFont="1" applyFill="1" applyBorder="1" applyAlignment="1">
      <alignment horizontal="center" vertical="center"/>
    </xf>
    <xf numFmtId="0" fontId="45" fillId="44" borderId="110" xfId="0" applyFont="1" applyFill="1" applyBorder="1" applyAlignment="1">
      <alignment horizontal="center" vertical="center"/>
    </xf>
    <xf numFmtId="0" fontId="45" fillId="58" borderId="116" xfId="0" applyFont="1" applyFill="1" applyBorder="1" applyAlignment="1">
      <alignment horizontal="center" vertical="center"/>
    </xf>
    <xf numFmtId="0" fontId="45" fillId="58" borderId="124" xfId="0" applyFont="1" applyFill="1" applyBorder="1" applyAlignment="1">
      <alignment horizontal="center" vertical="center"/>
    </xf>
    <xf numFmtId="0" fontId="45" fillId="18" borderId="101" xfId="0" applyFont="1" applyFill="1" applyBorder="1" applyAlignment="1">
      <alignment horizontal="center" vertical="center"/>
    </xf>
    <xf numFmtId="0" fontId="45" fillId="20" borderId="87" xfId="0" applyFont="1" applyFill="1" applyBorder="1" applyAlignment="1">
      <alignment horizontal="center" vertical="center"/>
    </xf>
    <xf numFmtId="0" fontId="45" fillId="20" borderId="85" xfId="0" applyFont="1" applyFill="1" applyBorder="1" applyAlignment="1">
      <alignment horizontal="center" vertical="center"/>
    </xf>
    <xf numFmtId="0" fontId="45" fillId="72" borderId="86" xfId="0" applyFont="1" applyFill="1" applyBorder="1" applyAlignment="1">
      <alignment horizontal="center" vertical="center"/>
    </xf>
    <xf numFmtId="0" fontId="45" fillId="72" borderId="116" xfId="0" applyFont="1" applyFill="1" applyBorder="1" applyAlignment="1">
      <alignment horizontal="center" vertical="center"/>
    </xf>
    <xf numFmtId="0" fontId="45" fillId="26" borderId="89" xfId="0" applyFont="1" applyFill="1" applyBorder="1" applyAlignment="1">
      <alignment horizontal="center" vertical="center"/>
    </xf>
    <xf numFmtId="0" fontId="45" fillId="73" borderId="116" xfId="0" applyFont="1" applyFill="1" applyBorder="1" applyAlignment="1">
      <alignment horizontal="center" vertical="center"/>
    </xf>
    <xf numFmtId="0" fontId="45" fillId="19" borderId="89" xfId="0" applyFont="1" applyFill="1" applyBorder="1" applyAlignment="1">
      <alignment horizontal="center" vertical="center"/>
    </xf>
    <xf numFmtId="0" fontId="45" fillId="19" borderId="80" xfId="0" applyFont="1" applyFill="1" applyBorder="1" applyAlignment="1">
      <alignment horizontal="center" vertical="center"/>
    </xf>
    <xf numFmtId="0" fontId="45" fillId="50" borderId="135" xfId="0" applyFont="1" applyFill="1" applyBorder="1" applyAlignment="1">
      <alignment horizontal="center" vertical="center"/>
    </xf>
    <xf numFmtId="0" fontId="45" fillId="74" borderId="107" xfId="0" applyFont="1" applyFill="1" applyBorder="1" applyAlignment="1">
      <alignment horizontal="center" vertical="center"/>
    </xf>
    <xf numFmtId="0" fontId="45" fillId="23" borderId="98" xfId="0" applyFont="1" applyFill="1" applyBorder="1" applyAlignment="1">
      <alignment horizontal="center" vertical="center"/>
    </xf>
    <xf numFmtId="0" fontId="45" fillId="23" borderId="86" xfId="0" applyFont="1" applyFill="1" applyBorder="1" applyAlignment="1">
      <alignment horizontal="center" vertical="center"/>
    </xf>
    <xf numFmtId="0" fontId="45" fillId="23" borderId="83" xfId="0" applyFont="1" applyFill="1" applyBorder="1" applyAlignment="1">
      <alignment horizontal="center" vertical="center"/>
    </xf>
    <xf numFmtId="0" fontId="45" fillId="40" borderId="116" xfId="0" applyFont="1" applyFill="1" applyBorder="1" applyAlignment="1">
      <alignment horizontal="center" vertical="center"/>
    </xf>
    <xf numFmtId="0" fontId="45" fillId="40" borderId="86" xfId="0" applyFont="1" applyFill="1" applyBorder="1" applyAlignment="1">
      <alignment horizontal="center" vertical="center"/>
    </xf>
    <xf numFmtId="0" fontId="45" fillId="23" borderId="89" xfId="0" applyFont="1" applyFill="1" applyBorder="1" applyAlignment="1">
      <alignment horizontal="center" vertical="center"/>
    </xf>
    <xf numFmtId="0" fontId="44" fillId="72" borderId="171" xfId="0" applyFont="1" applyFill="1" applyBorder="1" applyAlignment="1">
      <alignment horizontal="center" vertical="center"/>
    </xf>
    <xf numFmtId="0" fontId="44" fillId="72" borderId="172" xfId="0" applyFont="1" applyFill="1" applyBorder="1" applyAlignment="1">
      <alignment horizontal="center" vertical="center"/>
    </xf>
    <xf numFmtId="0" fontId="44" fillId="72" borderId="173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1" fillId="2" borderId="0" xfId="0" applyFont="1" applyFill="1" applyAlignment="1">
      <alignment horizontal="left" vertical="center" indent="1"/>
    </xf>
    <xf numFmtId="0" fontId="11" fillId="13" borderId="2" xfId="0" applyFont="1" applyFill="1" applyBorder="1" applyAlignment="1">
      <alignment horizontal="left" vertical="top" wrapText="1" indent="1"/>
    </xf>
    <xf numFmtId="0" fontId="11" fillId="13" borderId="0" xfId="0" applyFont="1" applyFill="1" applyAlignment="1">
      <alignment horizontal="left" vertical="top" wrapText="1" indent="1"/>
    </xf>
    <xf numFmtId="0" fontId="11" fillId="13" borderId="8" xfId="0" applyFont="1" applyFill="1" applyBorder="1" applyAlignment="1">
      <alignment horizontal="left" vertical="top" wrapText="1" indent="1"/>
    </xf>
    <xf numFmtId="0" fontId="11" fillId="13" borderId="5" xfId="0" applyFont="1" applyFill="1" applyBorder="1" applyAlignment="1">
      <alignment horizontal="left" vertical="top" wrapText="1" indent="1"/>
    </xf>
    <xf numFmtId="0" fontId="11" fillId="13" borderId="6" xfId="0" applyFont="1" applyFill="1" applyBorder="1" applyAlignment="1">
      <alignment horizontal="left" vertical="top" wrapText="1" indent="1"/>
    </xf>
    <xf numFmtId="0" fontId="11" fillId="13" borderId="9" xfId="0" applyFont="1" applyFill="1" applyBorder="1" applyAlignment="1">
      <alignment horizontal="left" vertical="top" wrapText="1" indent="1"/>
    </xf>
    <xf numFmtId="0" fontId="10" fillId="3" borderId="3" xfId="0" applyFont="1" applyFill="1" applyBorder="1" applyAlignment="1">
      <alignment horizontal="left" vertical="center" indent="1"/>
    </xf>
    <xf numFmtId="0" fontId="10" fillId="3" borderId="4" xfId="0" applyFont="1" applyFill="1" applyBorder="1" applyAlignment="1">
      <alignment horizontal="left" vertical="center" indent="1"/>
    </xf>
    <xf numFmtId="0" fontId="10" fillId="3" borderId="7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10" fillId="3" borderId="8" xfId="0" applyFont="1" applyFill="1" applyBorder="1" applyAlignment="1">
      <alignment horizontal="left" vertical="center" indent="1"/>
    </xf>
    <xf numFmtId="0" fontId="13" fillId="7" borderId="19" xfId="0" applyFont="1" applyFill="1" applyBorder="1" applyAlignment="1">
      <alignment horizontal="left" vertical="center" indent="1"/>
    </xf>
    <xf numFmtId="0" fontId="13" fillId="7" borderId="20" xfId="0" applyFont="1" applyFill="1" applyBorder="1" applyAlignment="1">
      <alignment horizontal="left" vertical="center" indent="1"/>
    </xf>
    <xf numFmtId="0" fontId="13" fillId="7" borderId="23" xfId="0" applyFont="1" applyFill="1" applyBorder="1" applyAlignment="1">
      <alignment horizontal="left" vertical="center" indent="1"/>
    </xf>
    <xf numFmtId="0" fontId="13" fillId="7" borderId="18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3" fillId="7" borderId="24" xfId="0" applyFont="1" applyFill="1" applyBorder="1" applyAlignment="1">
      <alignment horizontal="left" vertical="center" indent="1"/>
    </xf>
    <xf numFmtId="0" fontId="11" fillId="13" borderId="18" xfId="0" applyFont="1" applyFill="1" applyBorder="1" applyAlignment="1">
      <alignment horizontal="left" vertical="top" wrapText="1" indent="1"/>
    </xf>
    <xf numFmtId="0" fontId="11" fillId="13" borderId="24" xfId="0" applyFont="1" applyFill="1" applyBorder="1" applyAlignment="1">
      <alignment horizontal="left" vertical="top" wrapText="1" indent="1"/>
    </xf>
    <xf numFmtId="0" fontId="11" fillId="13" borderId="21" xfId="0" applyFont="1" applyFill="1" applyBorder="1" applyAlignment="1">
      <alignment horizontal="left" vertical="top" wrapText="1" indent="1"/>
    </xf>
    <xf numFmtId="0" fontId="11" fillId="13" borderId="22" xfId="0" applyFont="1" applyFill="1" applyBorder="1" applyAlignment="1">
      <alignment horizontal="left" vertical="top" wrapText="1" indent="1"/>
    </xf>
    <xf numFmtId="0" fontId="11" fillId="13" borderId="25" xfId="0" applyFont="1" applyFill="1" applyBorder="1" applyAlignment="1">
      <alignment horizontal="left" vertical="top" wrapText="1" indent="1"/>
    </xf>
    <xf numFmtId="0" fontId="12" fillId="8" borderId="27" xfId="0" applyFont="1" applyFill="1" applyBorder="1" applyAlignment="1">
      <alignment horizontal="left" vertical="center" indent="1"/>
    </xf>
    <xf numFmtId="0" fontId="12" fillId="8" borderId="28" xfId="0" applyFont="1" applyFill="1" applyBorder="1" applyAlignment="1">
      <alignment horizontal="left" vertical="center" indent="1"/>
    </xf>
    <xf numFmtId="0" fontId="12" fillId="8" borderId="31" xfId="0" applyFont="1" applyFill="1" applyBorder="1" applyAlignment="1">
      <alignment horizontal="left" vertical="center" indent="1"/>
    </xf>
    <xf numFmtId="0" fontId="12" fillId="8" borderId="26" xfId="0" applyFont="1" applyFill="1" applyBorder="1" applyAlignment="1">
      <alignment horizontal="left" vertical="center" indent="1"/>
    </xf>
    <xf numFmtId="0" fontId="12" fillId="8" borderId="0" xfId="0" applyFont="1" applyFill="1" applyAlignment="1">
      <alignment horizontal="left" vertical="center" indent="1"/>
    </xf>
    <xf numFmtId="0" fontId="12" fillId="8" borderId="32" xfId="0" applyFont="1" applyFill="1" applyBorder="1" applyAlignment="1">
      <alignment horizontal="left" vertical="center" indent="1"/>
    </xf>
    <xf numFmtId="0" fontId="11" fillId="13" borderId="26" xfId="0" applyFont="1" applyFill="1" applyBorder="1" applyAlignment="1">
      <alignment horizontal="left" vertical="top" wrapText="1" indent="1"/>
    </xf>
    <xf numFmtId="0" fontId="11" fillId="13" borderId="32" xfId="0" applyFont="1" applyFill="1" applyBorder="1" applyAlignment="1">
      <alignment horizontal="left" vertical="top" wrapText="1" indent="1"/>
    </xf>
    <xf numFmtId="0" fontId="11" fillId="13" borderId="29" xfId="0" applyFont="1" applyFill="1" applyBorder="1" applyAlignment="1">
      <alignment horizontal="left" vertical="top" wrapText="1" indent="1"/>
    </xf>
    <xf numFmtId="0" fontId="11" fillId="13" borderId="30" xfId="0" applyFont="1" applyFill="1" applyBorder="1" applyAlignment="1">
      <alignment horizontal="left" vertical="top" wrapText="1" indent="1"/>
    </xf>
    <xf numFmtId="0" fontId="11" fillId="13" borderId="33" xfId="0" applyFont="1" applyFill="1" applyBorder="1" applyAlignment="1">
      <alignment horizontal="left" vertical="top" wrapText="1" indent="1"/>
    </xf>
    <xf numFmtId="0" fontId="5" fillId="11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9" fillId="12" borderId="0" xfId="0" applyFont="1" applyFill="1" applyAlignment="1">
      <alignment horizontal="center" vertical="center" textRotation="255" wrapText="1"/>
    </xf>
    <xf numFmtId="0" fontId="9" fillId="12" borderId="1" xfId="0" applyFont="1" applyFill="1" applyBorder="1" applyAlignment="1">
      <alignment horizontal="center" vertical="center" textRotation="255" wrapText="1"/>
    </xf>
    <xf numFmtId="0" fontId="12" fillId="4" borderId="11" xfId="0" applyFont="1" applyFill="1" applyBorder="1" applyAlignment="1">
      <alignment horizontal="left" vertical="center" indent="1"/>
    </xf>
    <xf numFmtId="0" fontId="12" fillId="4" borderId="12" xfId="0" applyFont="1" applyFill="1" applyBorder="1" applyAlignment="1">
      <alignment horizontal="left" vertical="center" indent="1"/>
    </xf>
    <xf numFmtId="0" fontId="12" fillId="4" borderId="15" xfId="0" applyFont="1" applyFill="1" applyBorder="1" applyAlignment="1">
      <alignment horizontal="left" vertical="center" indent="1"/>
    </xf>
    <xf numFmtId="0" fontId="12" fillId="4" borderId="10" xfId="0" applyFont="1" applyFill="1" applyBorder="1" applyAlignment="1">
      <alignment horizontal="left" vertical="center" indent="1"/>
    </xf>
    <xf numFmtId="0" fontId="12" fillId="4" borderId="0" xfId="0" applyFont="1" applyFill="1" applyAlignment="1">
      <alignment horizontal="left" vertical="center" indent="1"/>
    </xf>
    <xf numFmtId="0" fontId="12" fillId="4" borderId="16" xfId="0" applyFont="1" applyFill="1" applyBorder="1" applyAlignment="1">
      <alignment horizontal="left" vertical="center" indent="1"/>
    </xf>
    <xf numFmtId="0" fontId="11" fillId="13" borderId="10" xfId="0" applyFont="1" applyFill="1" applyBorder="1" applyAlignment="1">
      <alignment horizontal="left" vertical="top" wrapText="1" indent="1"/>
    </xf>
    <xf numFmtId="0" fontId="11" fillId="13" borderId="16" xfId="0" applyFont="1" applyFill="1" applyBorder="1" applyAlignment="1">
      <alignment horizontal="left" vertical="top" wrapText="1" indent="1"/>
    </xf>
    <xf numFmtId="0" fontId="11" fillId="13" borderId="13" xfId="0" applyFont="1" applyFill="1" applyBorder="1" applyAlignment="1">
      <alignment horizontal="left" vertical="top" wrapText="1" indent="1"/>
    </xf>
    <xf numFmtId="0" fontId="11" fillId="13" borderId="14" xfId="0" applyFont="1" applyFill="1" applyBorder="1" applyAlignment="1">
      <alignment horizontal="left" vertical="top" wrapText="1" indent="1"/>
    </xf>
    <xf numFmtId="0" fontId="11" fillId="13" borderId="17" xfId="0" applyFont="1" applyFill="1" applyBorder="1" applyAlignment="1">
      <alignment horizontal="left" vertical="top" wrapText="1" indent="1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0" fontId="5" fillId="9" borderId="0" xfId="0" applyFont="1" applyFill="1" applyAlignment="1">
      <alignment horizontal="left" vertical="center" indent="1"/>
    </xf>
    <xf numFmtId="0" fontId="6" fillId="10" borderId="0" xfId="0" applyFont="1" applyFill="1" applyAlignment="1">
      <alignment horizontal="left" vertical="center" indent="1"/>
    </xf>
    <xf numFmtId="0" fontId="11" fillId="13" borderId="34" xfId="0" applyFont="1" applyFill="1" applyBorder="1" applyAlignment="1">
      <alignment horizontal="left" vertical="top" wrapText="1" indent="1"/>
    </xf>
    <xf numFmtId="0" fontId="11" fillId="13" borderId="40" xfId="0" applyFont="1" applyFill="1" applyBorder="1" applyAlignment="1">
      <alignment horizontal="left" vertical="top" wrapText="1" indent="1"/>
    </xf>
    <xf numFmtId="0" fontId="11" fillId="13" borderId="37" xfId="0" applyFont="1" applyFill="1" applyBorder="1" applyAlignment="1">
      <alignment horizontal="left" vertical="top" wrapText="1" indent="1"/>
    </xf>
    <xf numFmtId="0" fontId="11" fillId="13" borderId="38" xfId="0" applyFont="1" applyFill="1" applyBorder="1" applyAlignment="1">
      <alignment horizontal="left" vertical="top" wrapText="1" indent="1"/>
    </xf>
    <xf numFmtId="0" fontId="11" fillId="13" borderId="41" xfId="0" applyFont="1" applyFill="1" applyBorder="1" applyAlignment="1">
      <alignment horizontal="left" vertical="top" wrapText="1" indent="1"/>
    </xf>
    <xf numFmtId="0" fontId="11" fillId="13" borderId="58" xfId="0" applyFont="1" applyFill="1" applyBorder="1" applyAlignment="1">
      <alignment horizontal="left" vertical="top" wrapText="1" indent="1"/>
    </xf>
    <xf numFmtId="0" fontId="11" fillId="13" borderId="64" xfId="0" applyFont="1" applyFill="1" applyBorder="1" applyAlignment="1">
      <alignment horizontal="left" vertical="top" wrapText="1" indent="1"/>
    </xf>
    <xf numFmtId="0" fontId="11" fillId="13" borderId="61" xfId="0" applyFont="1" applyFill="1" applyBorder="1" applyAlignment="1">
      <alignment horizontal="left" vertical="top" wrapText="1" indent="1"/>
    </xf>
    <xf numFmtId="0" fontId="11" fillId="13" borderId="62" xfId="0" applyFont="1" applyFill="1" applyBorder="1" applyAlignment="1">
      <alignment horizontal="left" vertical="top" wrapText="1" indent="1"/>
    </xf>
    <xf numFmtId="0" fontId="11" fillId="13" borderId="65" xfId="0" applyFont="1" applyFill="1" applyBorder="1" applyAlignment="1">
      <alignment horizontal="left" vertical="top" wrapText="1" indent="1"/>
    </xf>
    <xf numFmtId="0" fontId="10" fillId="11" borderId="35" xfId="0" applyFont="1" applyFill="1" applyBorder="1" applyAlignment="1">
      <alignment horizontal="left" vertical="center" indent="1"/>
    </xf>
    <xf numFmtId="0" fontId="10" fillId="11" borderId="36" xfId="0" applyFont="1" applyFill="1" applyBorder="1" applyAlignment="1">
      <alignment horizontal="left" vertical="center" indent="1"/>
    </xf>
    <xf numFmtId="0" fontId="10" fillId="11" borderId="39" xfId="0" applyFont="1" applyFill="1" applyBorder="1" applyAlignment="1">
      <alignment horizontal="left" vertical="center" indent="1"/>
    </xf>
    <xf numFmtId="0" fontId="10" fillId="11" borderId="34" xfId="0" applyFont="1" applyFill="1" applyBorder="1" applyAlignment="1">
      <alignment horizontal="left" vertical="center" indent="1"/>
    </xf>
    <xf numFmtId="0" fontId="10" fillId="11" borderId="0" xfId="0" applyFont="1" applyFill="1" applyAlignment="1">
      <alignment horizontal="left" vertical="center" indent="1"/>
    </xf>
    <xf numFmtId="0" fontId="10" fillId="11" borderId="40" xfId="0" applyFont="1" applyFill="1" applyBorder="1" applyAlignment="1">
      <alignment horizontal="left" vertical="center" indent="1"/>
    </xf>
    <xf numFmtId="0" fontId="12" fillId="5" borderId="51" xfId="0" applyFont="1" applyFill="1" applyBorder="1" applyAlignment="1">
      <alignment horizontal="left" vertical="center" indent="1"/>
    </xf>
    <xf numFmtId="0" fontId="12" fillId="5" borderId="52" xfId="0" applyFont="1" applyFill="1" applyBorder="1" applyAlignment="1">
      <alignment horizontal="left" vertical="center" indent="1"/>
    </xf>
    <xf numFmtId="0" fontId="12" fillId="5" borderId="55" xfId="0" applyFont="1" applyFill="1" applyBorder="1" applyAlignment="1">
      <alignment horizontal="left" vertical="center" indent="1"/>
    </xf>
    <xf numFmtId="0" fontId="12" fillId="5" borderId="50" xfId="0" applyFont="1" applyFill="1" applyBorder="1" applyAlignment="1">
      <alignment horizontal="left" vertical="center" indent="1"/>
    </xf>
    <xf numFmtId="0" fontId="12" fillId="5" borderId="0" xfId="0" applyFont="1" applyFill="1" applyAlignment="1">
      <alignment horizontal="left" vertical="center" indent="1"/>
    </xf>
    <xf numFmtId="0" fontId="12" fillId="5" borderId="56" xfId="0" applyFont="1" applyFill="1" applyBorder="1" applyAlignment="1">
      <alignment horizontal="left" vertical="center" indent="1"/>
    </xf>
    <xf numFmtId="0" fontId="11" fillId="13" borderId="50" xfId="0" applyFont="1" applyFill="1" applyBorder="1" applyAlignment="1">
      <alignment horizontal="left" vertical="top" wrapText="1" indent="1"/>
    </xf>
    <xf numFmtId="0" fontId="11" fillId="13" borderId="56" xfId="0" applyFont="1" applyFill="1" applyBorder="1" applyAlignment="1">
      <alignment horizontal="left" vertical="top" wrapText="1" indent="1"/>
    </xf>
    <xf numFmtId="0" fontId="11" fillId="13" borderId="53" xfId="0" applyFont="1" applyFill="1" applyBorder="1" applyAlignment="1">
      <alignment horizontal="left" vertical="top" wrapText="1" indent="1"/>
    </xf>
    <xf numFmtId="0" fontId="11" fillId="13" borderId="54" xfId="0" applyFont="1" applyFill="1" applyBorder="1" applyAlignment="1">
      <alignment horizontal="left" vertical="top" wrapText="1" indent="1"/>
    </xf>
    <xf numFmtId="0" fontId="11" fillId="13" borderId="57" xfId="0" applyFont="1" applyFill="1" applyBorder="1" applyAlignment="1">
      <alignment horizontal="left" vertical="top" wrapText="1" indent="1"/>
    </xf>
    <xf numFmtId="0" fontId="12" fillId="6" borderId="67" xfId="0" applyFont="1" applyFill="1" applyBorder="1" applyAlignment="1">
      <alignment horizontal="left" vertical="center" indent="1"/>
    </xf>
    <xf numFmtId="0" fontId="12" fillId="6" borderId="68" xfId="0" applyFont="1" applyFill="1" applyBorder="1" applyAlignment="1">
      <alignment horizontal="left" vertical="center" indent="1"/>
    </xf>
    <xf numFmtId="0" fontId="12" fillId="6" borderId="71" xfId="0" applyFont="1" applyFill="1" applyBorder="1" applyAlignment="1">
      <alignment horizontal="left" vertical="center" indent="1"/>
    </xf>
    <xf numFmtId="0" fontId="12" fillId="6" borderId="66" xfId="0" applyFont="1" applyFill="1" applyBorder="1" applyAlignment="1">
      <alignment horizontal="left" vertical="center" indent="1"/>
    </xf>
    <xf numFmtId="0" fontId="12" fillId="6" borderId="0" xfId="0" applyFont="1" applyFill="1" applyAlignment="1">
      <alignment horizontal="left" vertical="center" indent="1"/>
    </xf>
    <xf numFmtId="0" fontId="12" fillId="6" borderId="72" xfId="0" applyFont="1" applyFill="1" applyBorder="1" applyAlignment="1">
      <alignment horizontal="left" vertical="center" indent="1"/>
    </xf>
    <xf numFmtId="0" fontId="11" fillId="13" borderId="66" xfId="0" applyFont="1" applyFill="1" applyBorder="1" applyAlignment="1">
      <alignment horizontal="left" vertical="top" wrapText="1" indent="1"/>
    </xf>
    <xf numFmtId="0" fontId="11" fillId="13" borderId="72" xfId="0" applyFont="1" applyFill="1" applyBorder="1" applyAlignment="1">
      <alignment horizontal="left" vertical="top" wrapText="1" indent="1"/>
    </xf>
    <xf numFmtId="0" fontId="11" fillId="13" borderId="69" xfId="0" applyFont="1" applyFill="1" applyBorder="1" applyAlignment="1">
      <alignment horizontal="left" vertical="top" wrapText="1" indent="1"/>
    </xf>
    <xf numFmtId="0" fontId="11" fillId="13" borderId="70" xfId="0" applyFont="1" applyFill="1" applyBorder="1" applyAlignment="1">
      <alignment horizontal="left" vertical="top" wrapText="1" indent="1"/>
    </xf>
    <xf numFmtId="0" fontId="11" fillId="13" borderId="73" xfId="0" applyFont="1" applyFill="1" applyBorder="1" applyAlignment="1">
      <alignment horizontal="left" vertical="top" wrapText="1" indent="1"/>
    </xf>
    <xf numFmtId="0" fontId="12" fillId="10" borderId="59" xfId="0" applyFont="1" applyFill="1" applyBorder="1" applyAlignment="1">
      <alignment horizontal="left" vertical="center" indent="1"/>
    </xf>
    <xf numFmtId="0" fontId="12" fillId="10" borderId="60" xfId="0" applyFont="1" applyFill="1" applyBorder="1" applyAlignment="1">
      <alignment horizontal="left" vertical="center" indent="1"/>
    </xf>
    <xf numFmtId="0" fontId="12" fillId="10" borderId="63" xfId="0" applyFont="1" applyFill="1" applyBorder="1" applyAlignment="1">
      <alignment horizontal="left" vertical="center" indent="1"/>
    </xf>
    <xf numFmtId="0" fontId="12" fillId="10" borderId="58" xfId="0" applyFont="1" applyFill="1" applyBorder="1" applyAlignment="1">
      <alignment horizontal="left" vertical="center" indent="1"/>
    </xf>
    <xf numFmtId="0" fontId="12" fillId="10" borderId="0" xfId="0" applyFont="1" applyFill="1" applyAlignment="1">
      <alignment horizontal="left" vertical="center" indent="1"/>
    </xf>
    <xf numFmtId="0" fontId="12" fillId="10" borderId="64" xfId="0" applyFont="1" applyFill="1" applyBorder="1" applyAlignment="1">
      <alignment horizontal="left" vertical="center" indent="1"/>
    </xf>
    <xf numFmtId="0" fontId="10" fillId="9" borderId="43" xfId="0" applyFont="1" applyFill="1" applyBorder="1" applyAlignment="1">
      <alignment horizontal="left" vertical="center" indent="1"/>
    </xf>
    <xf numFmtId="0" fontId="10" fillId="9" borderId="44" xfId="0" applyFont="1" applyFill="1" applyBorder="1" applyAlignment="1">
      <alignment horizontal="left" vertical="center" indent="1"/>
    </xf>
    <xf numFmtId="0" fontId="10" fillId="9" borderId="47" xfId="0" applyFont="1" applyFill="1" applyBorder="1" applyAlignment="1">
      <alignment horizontal="left" vertical="center" indent="1"/>
    </xf>
    <xf numFmtId="0" fontId="10" fillId="9" borderId="42" xfId="0" applyFont="1" applyFill="1" applyBorder="1" applyAlignment="1">
      <alignment horizontal="left" vertical="center" indent="1"/>
    </xf>
    <xf numFmtId="0" fontId="10" fillId="9" borderId="0" xfId="0" applyFont="1" applyFill="1" applyAlignment="1">
      <alignment horizontal="left" vertical="center" indent="1"/>
    </xf>
    <xf numFmtId="0" fontId="10" fillId="9" borderId="48" xfId="0" applyFont="1" applyFill="1" applyBorder="1" applyAlignment="1">
      <alignment horizontal="left" vertical="center" indent="1"/>
    </xf>
    <xf numFmtId="0" fontId="11" fillId="13" borderId="42" xfId="0" applyFont="1" applyFill="1" applyBorder="1" applyAlignment="1">
      <alignment horizontal="left" vertical="top" wrapText="1" indent="1"/>
    </xf>
    <xf numFmtId="0" fontId="11" fillId="13" borderId="48" xfId="0" applyFont="1" applyFill="1" applyBorder="1" applyAlignment="1">
      <alignment horizontal="left" vertical="top" wrapText="1" indent="1"/>
    </xf>
    <xf numFmtId="0" fontId="11" fillId="13" borderId="45" xfId="0" applyFont="1" applyFill="1" applyBorder="1" applyAlignment="1">
      <alignment horizontal="left" vertical="top" wrapText="1" indent="1"/>
    </xf>
    <xf numFmtId="0" fontId="11" fillId="13" borderId="46" xfId="0" applyFont="1" applyFill="1" applyBorder="1" applyAlignment="1">
      <alignment horizontal="left" vertical="top" wrapText="1" indent="1"/>
    </xf>
    <xf numFmtId="0" fontId="11" fillId="13" borderId="49" xfId="0" applyFont="1" applyFill="1" applyBorder="1" applyAlignment="1">
      <alignment horizontal="left" vertical="top" wrapText="1" inden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テンポ（緊張度の流れ）</a:t>
            </a:r>
            <a:r>
              <a:rPr lang="en-US" altLang="ja-JP"/>
              <a:t>Ch0 → Ch1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緊張度（メインルート）</c:v>
          </c:tx>
          <c:spPr>
            <a:ln w="31750">
              <a:solidFill>
                <a:srgbClr val="E63946"/>
              </a:solidFill>
            </a:ln>
          </c:spPr>
          <c:marker>
            <c:spPr>
              <a:ln w="31750">
                <a:solidFill>
                  <a:srgbClr val="E63946"/>
                </a:solidFill>
              </a:ln>
            </c:spPr>
          </c:marker>
          <c:cat>
            <c:strLit>
              <c:ptCount val="29"/>
              <c:pt idx="0">
                <c:v>0-01</c:v>
              </c:pt>
              <c:pt idx="1">
                <c:v>0-02</c:v>
              </c:pt>
              <c:pt idx="2">
                <c:v>0-03</c:v>
              </c:pt>
              <c:pt idx="3">
                <c:v>0-04</c:v>
              </c:pt>
              <c:pt idx="4">
                <c:v>0-05</c:v>
              </c:pt>
              <c:pt idx="5">
                <c:v>0-06</c:v>
              </c:pt>
              <c:pt idx="6">
                <c:v>0-07</c:v>
              </c:pt>
              <c:pt idx="7">
                <c:v>0-08</c:v>
              </c:pt>
              <c:pt idx="8">
                <c:v>0-09</c:v>
              </c:pt>
              <c:pt idx="9">
                <c:v>0-10</c:v>
              </c:pt>
              <c:pt idx="10">
                <c:v>1-01</c:v>
              </c:pt>
              <c:pt idx="11">
                <c:v>1-02</c:v>
              </c:pt>
              <c:pt idx="12">
                <c:v>1-03</c:v>
              </c:pt>
              <c:pt idx="13">
                <c:v>1-04</c:v>
              </c:pt>
              <c:pt idx="14">
                <c:v>1-05</c:v>
              </c:pt>
              <c:pt idx="15">
                <c:v>1-06</c:v>
              </c:pt>
              <c:pt idx="16">
                <c:v>1-07</c:v>
              </c:pt>
              <c:pt idx="17">
                <c:v>1-08</c:v>
              </c:pt>
              <c:pt idx="18">
                <c:v>1-09</c:v>
              </c:pt>
              <c:pt idx="19">
                <c:v>1-10</c:v>
              </c:pt>
              <c:pt idx="20">
                <c:v>1-11</c:v>
              </c:pt>
              <c:pt idx="21">
                <c:v>1-12</c:v>
              </c:pt>
              <c:pt idx="22">
                <c:v>1-13</c:v>
              </c:pt>
              <c:pt idx="23">
                <c:v>1-14</c:v>
              </c:pt>
              <c:pt idx="24">
                <c:v>1-15</c:v>
              </c:pt>
              <c:pt idx="25">
                <c:v>1-16</c:v>
              </c:pt>
              <c:pt idx="26">
                <c:v>1-17</c:v>
              </c:pt>
              <c:pt idx="27">
                <c:v>1-18</c:v>
              </c:pt>
              <c:pt idx="28">
                <c:v>1-19</c:v>
              </c:pt>
            </c:strLit>
          </c:cat>
          <c:val>
            <c:numLit>
              <c:formatCode>General</c:formatCode>
              <c:ptCount val="2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2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2</c:v>
              </c:pt>
              <c:pt idx="8">
                <c:v>1</c:v>
              </c:pt>
              <c:pt idx="9">
                <c:v>3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3</c:v>
              </c:pt>
              <c:pt idx="15">
                <c:v>2</c:v>
              </c:pt>
              <c:pt idx="16">
                <c:v>3</c:v>
              </c:pt>
              <c:pt idx="17">
                <c:v>1</c:v>
              </c:pt>
              <c:pt idx="18">
                <c:v>2</c:v>
              </c:pt>
              <c:pt idx="19">
                <c:v>1</c:v>
              </c:pt>
              <c:pt idx="20">
                <c:v>4</c:v>
              </c:pt>
              <c:pt idx="21">
                <c:v>1</c:v>
              </c:pt>
              <c:pt idx="22">
                <c:v>1</c:v>
              </c:pt>
              <c:pt idx="23">
                <c:v>3</c:v>
              </c:pt>
              <c:pt idx="24">
                <c:v>4</c:v>
              </c:pt>
              <c:pt idx="25">
                <c:v>1</c:v>
              </c:pt>
              <c:pt idx="26">
                <c:v>3</c:v>
              </c:pt>
              <c:pt idx="27">
                <c:v>5</c:v>
              </c:pt>
              <c:pt idx="28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61F-4C74-A00B-11F706A04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453520"/>
        <c:axId val="388090960"/>
      </c:lineChart>
      <c:catAx>
        <c:axId val="36245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8090960"/>
        <c:crosses val="autoZero"/>
        <c:auto val="1"/>
        <c:lblAlgn val="ctr"/>
        <c:lblOffset val="100"/>
        <c:noMultiLvlLbl val="0"/>
      </c:catAx>
      <c:valAx>
        <c:axId val="388090960"/>
        <c:scaling>
          <c:orientation val="minMax"/>
          <c:max val="5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453520"/>
        <c:crosses val="autoZero"/>
        <c:crossBetween val="between"/>
        <c:majorUnit val="1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127000</xdr:colOff>
      <xdr:row>13</xdr:row>
      <xdr:rowOff>177800</xdr:rowOff>
    </xdr:from>
    <xdr:to>
      <xdr:col>28</xdr:col>
      <xdr:colOff>203200</xdr:colOff>
      <xdr:row>14</xdr:row>
      <xdr:rowOff>165100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9633F5F-F452-FCF8-BB02-FBDDB736E4AF}"/>
            </a:ext>
          </a:extLst>
        </xdr:cNvPr>
        <xdr:cNvSpPr txBox="1"/>
      </xdr:nvSpPr>
      <xdr:spPr>
        <a:xfrm>
          <a:off x="5842000" y="2654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22</xdr:row>
      <xdr:rowOff>177800</xdr:rowOff>
    </xdr:from>
    <xdr:to>
      <xdr:col>28</xdr:col>
      <xdr:colOff>203200</xdr:colOff>
      <xdr:row>23</xdr:row>
      <xdr:rowOff>165100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91C20B7-DCB5-5044-76D9-C70B09DF42B1}"/>
            </a:ext>
          </a:extLst>
        </xdr:cNvPr>
        <xdr:cNvSpPr txBox="1"/>
      </xdr:nvSpPr>
      <xdr:spPr>
        <a:xfrm>
          <a:off x="5842000" y="4368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●●○○○</a:t>
          </a:r>
        </a:p>
      </xdr:txBody>
    </xdr:sp>
    <xdr:clientData/>
  </xdr:twoCellAnchor>
  <xdr:twoCellAnchor>
    <xdr:from>
      <xdr:col>25</xdr:col>
      <xdr:colOff>127000</xdr:colOff>
      <xdr:row>31</xdr:row>
      <xdr:rowOff>177800</xdr:rowOff>
    </xdr:from>
    <xdr:to>
      <xdr:col>28</xdr:col>
      <xdr:colOff>203200</xdr:colOff>
      <xdr:row>32</xdr:row>
      <xdr:rowOff>165100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1F9278A-F059-B6A9-6C4A-FA882DF101B7}"/>
            </a:ext>
          </a:extLst>
        </xdr:cNvPr>
        <xdr:cNvSpPr txBox="1"/>
      </xdr:nvSpPr>
      <xdr:spPr>
        <a:xfrm>
          <a:off x="5842000" y="6083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●●●○○</a:t>
          </a:r>
        </a:p>
      </xdr:txBody>
    </xdr:sp>
    <xdr:clientData/>
  </xdr:twoCellAnchor>
  <xdr:twoCellAnchor>
    <xdr:from>
      <xdr:col>25</xdr:col>
      <xdr:colOff>127000</xdr:colOff>
      <xdr:row>40</xdr:row>
      <xdr:rowOff>177800</xdr:rowOff>
    </xdr:from>
    <xdr:to>
      <xdr:col>28</xdr:col>
      <xdr:colOff>203200</xdr:colOff>
      <xdr:row>41</xdr:row>
      <xdr:rowOff>165100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C888AB4-8F0D-0C37-83CF-A54156960095}"/>
            </a:ext>
          </a:extLst>
        </xdr:cNvPr>
        <xdr:cNvSpPr txBox="1"/>
      </xdr:nvSpPr>
      <xdr:spPr>
        <a:xfrm>
          <a:off x="5842000" y="7797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●●○○○</a:t>
          </a:r>
        </a:p>
      </xdr:txBody>
    </xdr:sp>
    <xdr:clientData/>
  </xdr:twoCellAnchor>
  <xdr:twoCellAnchor>
    <xdr:from>
      <xdr:col>25</xdr:col>
      <xdr:colOff>127000</xdr:colOff>
      <xdr:row>49</xdr:row>
      <xdr:rowOff>177800</xdr:rowOff>
    </xdr:from>
    <xdr:to>
      <xdr:col>28</xdr:col>
      <xdr:colOff>203200</xdr:colOff>
      <xdr:row>50</xdr:row>
      <xdr:rowOff>165100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0C62ACE-F012-831A-EA46-34C25DFEC775}"/>
            </a:ext>
          </a:extLst>
        </xdr:cNvPr>
        <xdr:cNvSpPr txBox="1"/>
      </xdr:nvSpPr>
      <xdr:spPr>
        <a:xfrm>
          <a:off x="5842000" y="9512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58</xdr:row>
      <xdr:rowOff>177800</xdr:rowOff>
    </xdr:from>
    <xdr:to>
      <xdr:col>28</xdr:col>
      <xdr:colOff>203200</xdr:colOff>
      <xdr:row>59</xdr:row>
      <xdr:rowOff>165100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9702FF5-B923-33FD-E71F-CFF4BA29E4DB}"/>
            </a:ext>
          </a:extLst>
        </xdr:cNvPr>
        <xdr:cNvSpPr txBox="1"/>
      </xdr:nvSpPr>
      <xdr:spPr>
        <a:xfrm>
          <a:off x="5842000" y="11226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67</xdr:row>
      <xdr:rowOff>177800</xdr:rowOff>
    </xdr:from>
    <xdr:to>
      <xdr:col>28</xdr:col>
      <xdr:colOff>203200</xdr:colOff>
      <xdr:row>68</xdr:row>
      <xdr:rowOff>165100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343C9E5-7210-97D2-D82D-04046187A48F}"/>
            </a:ext>
          </a:extLst>
        </xdr:cNvPr>
        <xdr:cNvSpPr txBox="1"/>
      </xdr:nvSpPr>
      <xdr:spPr>
        <a:xfrm>
          <a:off x="5842000" y="12941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76</xdr:row>
      <xdr:rowOff>177800</xdr:rowOff>
    </xdr:from>
    <xdr:to>
      <xdr:col>28</xdr:col>
      <xdr:colOff>203200</xdr:colOff>
      <xdr:row>77</xdr:row>
      <xdr:rowOff>165100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F3D712F-9E4C-62EE-56D1-89873BE0B9FE}"/>
            </a:ext>
          </a:extLst>
        </xdr:cNvPr>
        <xdr:cNvSpPr txBox="1"/>
      </xdr:nvSpPr>
      <xdr:spPr>
        <a:xfrm>
          <a:off x="5842000" y="14655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●●○○○</a:t>
          </a:r>
        </a:p>
      </xdr:txBody>
    </xdr:sp>
    <xdr:clientData/>
  </xdr:twoCellAnchor>
  <xdr:twoCellAnchor>
    <xdr:from>
      <xdr:col>25</xdr:col>
      <xdr:colOff>127000</xdr:colOff>
      <xdr:row>85</xdr:row>
      <xdr:rowOff>177800</xdr:rowOff>
    </xdr:from>
    <xdr:to>
      <xdr:col>28</xdr:col>
      <xdr:colOff>203200</xdr:colOff>
      <xdr:row>86</xdr:row>
      <xdr:rowOff>165100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4DFB545-646A-0B7B-9145-8D630F54A8ED}"/>
            </a:ext>
          </a:extLst>
        </xdr:cNvPr>
        <xdr:cNvSpPr txBox="1"/>
      </xdr:nvSpPr>
      <xdr:spPr>
        <a:xfrm>
          <a:off x="5842000" y="16370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94</xdr:row>
      <xdr:rowOff>177800</xdr:rowOff>
    </xdr:from>
    <xdr:to>
      <xdr:col>28</xdr:col>
      <xdr:colOff>203200</xdr:colOff>
      <xdr:row>95</xdr:row>
      <xdr:rowOff>165100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4D5783E-A195-470D-E7F0-7117D0A427D5}"/>
            </a:ext>
          </a:extLst>
        </xdr:cNvPr>
        <xdr:cNvSpPr txBox="1"/>
      </xdr:nvSpPr>
      <xdr:spPr>
        <a:xfrm>
          <a:off x="5842000" y="18084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●●●○○</a:t>
          </a:r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0</xdr:colOff>
      <xdr:row>17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E9C28CBB-A8CA-4349-7EAF-91BBAD265C98}"/>
            </a:ext>
          </a:extLst>
        </xdr:cNvPr>
        <xdr:cNvCxnSpPr/>
      </xdr:nvCxnSpPr>
      <xdr:spPr>
        <a:xfrm>
          <a:off x="4343400" y="2857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24</xdr:row>
      <xdr:rowOff>0</xdr:rowOff>
    </xdr:from>
    <xdr:to>
      <xdr:col>19</xdr:col>
      <xdr:colOff>0</xdr:colOff>
      <xdr:row>26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CBDACBC-A8BD-2F89-0C65-95129C1681F7}"/>
            </a:ext>
          </a:extLst>
        </xdr:cNvPr>
        <xdr:cNvCxnSpPr/>
      </xdr:nvCxnSpPr>
      <xdr:spPr>
        <a:xfrm>
          <a:off x="4343400" y="4572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33</xdr:row>
      <xdr:rowOff>0</xdr:rowOff>
    </xdr:from>
    <xdr:to>
      <xdr:col>19</xdr:col>
      <xdr:colOff>0</xdr:colOff>
      <xdr:row>35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FF11205-9632-AD2E-5BFE-EB2EB48119E4}"/>
            </a:ext>
          </a:extLst>
        </xdr:cNvPr>
        <xdr:cNvCxnSpPr/>
      </xdr:nvCxnSpPr>
      <xdr:spPr>
        <a:xfrm>
          <a:off x="4343400" y="6286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44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49A9F8-31AB-9E12-D223-F7886F3E92AA}"/>
            </a:ext>
          </a:extLst>
        </xdr:cNvPr>
        <xdr:cNvCxnSpPr/>
      </xdr:nvCxnSpPr>
      <xdr:spPr>
        <a:xfrm>
          <a:off x="4343400" y="8001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51</xdr:row>
      <xdr:rowOff>0</xdr:rowOff>
    </xdr:from>
    <xdr:to>
      <xdr:col>19</xdr:col>
      <xdr:colOff>0</xdr:colOff>
      <xdr:row>53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7C6281A2-23E5-DB9D-6A86-3D4368791986}"/>
            </a:ext>
          </a:extLst>
        </xdr:cNvPr>
        <xdr:cNvCxnSpPr/>
      </xdr:nvCxnSpPr>
      <xdr:spPr>
        <a:xfrm>
          <a:off x="4343400" y="9715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60</xdr:row>
      <xdr:rowOff>0</xdr:rowOff>
    </xdr:from>
    <xdr:to>
      <xdr:col>19</xdr:col>
      <xdr:colOff>0</xdr:colOff>
      <xdr:row>62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27285F7B-1956-8F15-4C5D-22CC7052A1DF}"/>
            </a:ext>
          </a:extLst>
        </xdr:cNvPr>
        <xdr:cNvCxnSpPr/>
      </xdr:nvCxnSpPr>
      <xdr:spPr>
        <a:xfrm>
          <a:off x="4343400" y="11430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69</xdr:row>
      <xdr:rowOff>0</xdr:rowOff>
    </xdr:from>
    <xdr:to>
      <xdr:col>19</xdr:col>
      <xdr:colOff>0</xdr:colOff>
      <xdr:row>71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6B78F3F5-3706-1FC9-222A-627C69A44A83}"/>
            </a:ext>
          </a:extLst>
        </xdr:cNvPr>
        <xdr:cNvCxnSpPr/>
      </xdr:nvCxnSpPr>
      <xdr:spPr>
        <a:xfrm>
          <a:off x="4343400" y="13144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78</xdr:row>
      <xdr:rowOff>0</xdr:rowOff>
    </xdr:from>
    <xdr:to>
      <xdr:col>19</xdr:col>
      <xdr:colOff>0</xdr:colOff>
      <xdr:row>80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DD581446-8DFD-4DC3-5843-FA40B34FF151}"/>
            </a:ext>
          </a:extLst>
        </xdr:cNvPr>
        <xdr:cNvCxnSpPr/>
      </xdr:nvCxnSpPr>
      <xdr:spPr>
        <a:xfrm>
          <a:off x="4343400" y="14859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87</xdr:row>
      <xdr:rowOff>0</xdr:rowOff>
    </xdr:from>
    <xdr:to>
      <xdr:col>19</xdr:col>
      <xdr:colOff>0</xdr:colOff>
      <xdr:row>89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7CFA483-F9E3-5866-1C59-342368CA260C}"/>
            </a:ext>
          </a:extLst>
        </xdr:cNvPr>
        <xdr:cNvCxnSpPr/>
      </xdr:nvCxnSpPr>
      <xdr:spPr>
        <a:xfrm>
          <a:off x="4343400" y="16573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127000</xdr:colOff>
      <xdr:row>13</xdr:row>
      <xdr:rowOff>177800</xdr:rowOff>
    </xdr:from>
    <xdr:to>
      <xdr:col>28</xdr:col>
      <xdr:colOff>203200</xdr:colOff>
      <xdr:row>14</xdr:row>
      <xdr:rowOff>165100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430696F-A14B-B2D8-3743-2E091EA3C439}"/>
            </a:ext>
          </a:extLst>
        </xdr:cNvPr>
        <xdr:cNvSpPr txBox="1"/>
      </xdr:nvSpPr>
      <xdr:spPr>
        <a:xfrm>
          <a:off x="5842000" y="2654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22</xdr:row>
      <xdr:rowOff>177800</xdr:rowOff>
    </xdr:from>
    <xdr:to>
      <xdr:col>28</xdr:col>
      <xdr:colOff>203200</xdr:colOff>
      <xdr:row>23</xdr:row>
      <xdr:rowOff>165100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884603B-7CC0-3AD6-EE6B-C9C00AEA8705}"/>
            </a:ext>
          </a:extLst>
        </xdr:cNvPr>
        <xdr:cNvSpPr txBox="1"/>
      </xdr:nvSpPr>
      <xdr:spPr>
        <a:xfrm>
          <a:off x="5842000" y="4368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31</xdr:row>
      <xdr:rowOff>177800</xdr:rowOff>
    </xdr:from>
    <xdr:to>
      <xdr:col>28</xdr:col>
      <xdr:colOff>203200</xdr:colOff>
      <xdr:row>32</xdr:row>
      <xdr:rowOff>165100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39741DD-E465-F2CB-E38E-194090E4E53C}"/>
            </a:ext>
          </a:extLst>
        </xdr:cNvPr>
        <xdr:cNvSpPr txBox="1"/>
      </xdr:nvSpPr>
      <xdr:spPr>
        <a:xfrm>
          <a:off x="5842000" y="6083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40</xdr:row>
      <xdr:rowOff>177800</xdr:rowOff>
    </xdr:from>
    <xdr:to>
      <xdr:col>28</xdr:col>
      <xdr:colOff>203200</xdr:colOff>
      <xdr:row>41</xdr:row>
      <xdr:rowOff>165100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672F53D-68D2-E612-F3D7-0BB0E51766AB}"/>
            </a:ext>
          </a:extLst>
        </xdr:cNvPr>
        <xdr:cNvSpPr txBox="1"/>
      </xdr:nvSpPr>
      <xdr:spPr>
        <a:xfrm>
          <a:off x="5842000" y="7797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49</xdr:row>
      <xdr:rowOff>177800</xdr:rowOff>
    </xdr:from>
    <xdr:to>
      <xdr:col>28</xdr:col>
      <xdr:colOff>203200</xdr:colOff>
      <xdr:row>50</xdr:row>
      <xdr:rowOff>165100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54C4170-9EC4-51CA-EE5F-F17F489E6F2A}"/>
            </a:ext>
          </a:extLst>
        </xdr:cNvPr>
        <xdr:cNvSpPr txBox="1"/>
      </xdr:nvSpPr>
      <xdr:spPr>
        <a:xfrm>
          <a:off x="5842000" y="9512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●●●○○</a:t>
          </a:r>
        </a:p>
      </xdr:txBody>
    </xdr:sp>
    <xdr:clientData/>
  </xdr:twoCellAnchor>
  <xdr:twoCellAnchor>
    <xdr:from>
      <xdr:col>25</xdr:col>
      <xdr:colOff>127000</xdr:colOff>
      <xdr:row>58</xdr:row>
      <xdr:rowOff>177800</xdr:rowOff>
    </xdr:from>
    <xdr:to>
      <xdr:col>28</xdr:col>
      <xdr:colOff>203200</xdr:colOff>
      <xdr:row>59</xdr:row>
      <xdr:rowOff>165100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793C47B-9308-C97D-C22C-D0F17BF081E8}"/>
            </a:ext>
          </a:extLst>
        </xdr:cNvPr>
        <xdr:cNvSpPr txBox="1"/>
      </xdr:nvSpPr>
      <xdr:spPr>
        <a:xfrm>
          <a:off x="5842000" y="11226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●●○○○</a:t>
          </a:r>
        </a:p>
      </xdr:txBody>
    </xdr:sp>
    <xdr:clientData/>
  </xdr:twoCellAnchor>
  <xdr:twoCellAnchor>
    <xdr:from>
      <xdr:col>25</xdr:col>
      <xdr:colOff>127000</xdr:colOff>
      <xdr:row>67</xdr:row>
      <xdr:rowOff>177800</xdr:rowOff>
    </xdr:from>
    <xdr:to>
      <xdr:col>28</xdr:col>
      <xdr:colOff>203200</xdr:colOff>
      <xdr:row>68</xdr:row>
      <xdr:rowOff>165100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17BF7CD-36E3-3ED0-D9D9-D28C682E0A77}"/>
            </a:ext>
          </a:extLst>
        </xdr:cNvPr>
        <xdr:cNvSpPr txBox="1"/>
      </xdr:nvSpPr>
      <xdr:spPr>
        <a:xfrm>
          <a:off x="5842000" y="12941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●●●○○</a:t>
          </a:r>
        </a:p>
      </xdr:txBody>
    </xdr:sp>
    <xdr:clientData/>
  </xdr:twoCellAnchor>
  <xdr:twoCellAnchor>
    <xdr:from>
      <xdr:col>25</xdr:col>
      <xdr:colOff>127000</xdr:colOff>
      <xdr:row>76</xdr:row>
      <xdr:rowOff>177800</xdr:rowOff>
    </xdr:from>
    <xdr:to>
      <xdr:col>28</xdr:col>
      <xdr:colOff>203200</xdr:colOff>
      <xdr:row>77</xdr:row>
      <xdr:rowOff>165100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DF91F15A-E949-CB14-204A-AF4028CCE682}"/>
            </a:ext>
          </a:extLst>
        </xdr:cNvPr>
        <xdr:cNvSpPr txBox="1"/>
      </xdr:nvSpPr>
      <xdr:spPr>
        <a:xfrm>
          <a:off x="5842000" y="14655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85</xdr:row>
      <xdr:rowOff>177800</xdr:rowOff>
    </xdr:from>
    <xdr:to>
      <xdr:col>28</xdr:col>
      <xdr:colOff>203200</xdr:colOff>
      <xdr:row>86</xdr:row>
      <xdr:rowOff>165100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C93CA1B-64A1-F751-E40A-A8638385DD3E}"/>
            </a:ext>
          </a:extLst>
        </xdr:cNvPr>
        <xdr:cNvSpPr txBox="1"/>
      </xdr:nvSpPr>
      <xdr:spPr>
        <a:xfrm>
          <a:off x="5842000" y="16370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●●○○○</a:t>
          </a:r>
        </a:p>
      </xdr:txBody>
    </xdr:sp>
    <xdr:clientData/>
  </xdr:twoCellAnchor>
  <xdr:twoCellAnchor>
    <xdr:from>
      <xdr:col>25</xdr:col>
      <xdr:colOff>127000</xdr:colOff>
      <xdr:row>94</xdr:row>
      <xdr:rowOff>177800</xdr:rowOff>
    </xdr:from>
    <xdr:to>
      <xdr:col>28</xdr:col>
      <xdr:colOff>203200</xdr:colOff>
      <xdr:row>95</xdr:row>
      <xdr:rowOff>165100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F3ECCF0-A1CB-4C9E-C260-1BFB6754A1FD}"/>
            </a:ext>
          </a:extLst>
        </xdr:cNvPr>
        <xdr:cNvSpPr txBox="1"/>
      </xdr:nvSpPr>
      <xdr:spPr>
        <a:xfrm>
          <a:off x="5842000" y="18084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103</xdr:row>
      <xdr:rowOff>177800</xdr:rowOff>
    </xdr:from>
    <xdr:to>
      <xdr:col>28</xdr:col>
      <xdr:colOff>203200</xdr:colOff>
      <xdr:row>104</xdr:row>
      <xdr:rowOff>165100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59C688F-D9B3-5F96-0F66-C0CFA91B5A92}"/>
            </a:ext>
          </a:extLst>
        </xdr:cNvPr>
        <xdr:cNvSpPr txBox="1"/>
      </xdr:nvSpPr>
      <xdr:spPr>
        <a:xfrm>
          <a:off x="5842000" y="19799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●●●●○</a:t>
          </a:r>
        </a:p>
      </xdr:txBody>
    </xdr:sp>
    <xdr:clientData/>
  </xdr:twoCellAnchor>
  <xdr:twoCellAnchor>
    <xdr:from>
      <xdr:col>25</xdr:col>
      <xdr:colOff>127000</xdr:colOff>
      <xdr:row>112</xdr:row>
      <xdr:rowOff>177800</xdr:rowOff>
    </xdr:from>
    <xdr:to>
      <xdr:col>28</xdr:col>
      <xdr:colOff>203200</xdr:colOff>
      <xdr:row>113</xdr:row>
      <xdr:rowOff>165100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227CEAD-E248-4F12-2500-86DF2AE51CB0}"/>
            </a:ext>
          </a:extLst>
        </xdr:cNvPr>
        <xdr:cNvSpPr txBox="1"/>
      </xdr:nvSpPr>
      <xdr:spPr>
        <a:xfrm>
          <a:off x="5842000" y="21513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121</xdr:row>
      <xdr:rowOff>177800</xdr:rowOff>
    </xdr:from>
    <xdr:to>
      <xdr:col>28</xdr:col>
      <xdr:colOff>203200</xdr:colOff>
      <xdr:row>122</xdr:row>
      <xdr:rowOff>165100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B8A884D4-CD96-9A18-B3E1-1BD0A71965BE}"/>
            </a:ext>
          </a:extLst>
        </xdr:cNvPr>
        <xdr:cNvSpPr txBox="1"/>
      </xdr:nvSpPr>
      <xdr:spPr>
        <a:xfrm>
          <a:off x="5842000" y="23228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130</xdr:row>
      <xdr:rowOff>177800</xdr:rowOff>
    </xdr:from>
    <xdr:to>
      <xdr:col>28</xdr:col>
      <xdr:colOff>203200</xdr:colOff>
      <xdr:row>131</xdr:row>
      <xdr:rowOff>165100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9A7366E-7621-71E1-C4E1-BE9DFC635360}"/>
            </a:ext>
          </a:extLst>
        </xdr:cNvPr>
        <xdr:cNvSpPr txBox="1"/>
      </xdr:nvSpPr>
      <xdr:spPr>
        <a:xfrm>
          <a:off x="5842000" y="24942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●●●○○</a:t>
          </a:r>
        </a:p>
      </xdr:txBody>
    </xdr:sp>
    <xdr:clientData/>
  </xdr:twoCellAnchor>
  <xdr:twoCellAnchor>
    <xdr:from>
      <xdr:col>25</xdr:col>
      <xdr:colOff>127000</xdr:colOff>
      <xdr:row>139</xdr:row>
      <xdr:rowOff>177800</xdr:rowOff>
    </xdr:from>
    <xdr:to>
      <xdr:col>28</xdr:col>
      <xdr:colOff>203200</xdr:colOff>
      <xdr:row>140</xdr:row>
      <xdr:rowOff>165100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864C9E0-9CA2-95F5-EC09-1145BB34D33F}"/>
            </a:ext>
          </a:extLst>
        </xdr:cNvPr>
        <xdr:cNvSpPr txBox="1"/>
      </xdr:nvSpPr>
      <xdr:spPr>
        <a:xfrm>
          <a:off x="5842000" y="26657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●●●●○</a:t>
          </a:r>
        </a:p>
      </xdr:txBody>
    </xdr:sp>
    <xdr:clientData/>
  </xdr:twoCellAnchor>
  <xdr:twoCellAnchor>
    <xdr:from>
      <xdr:col>25</xdr:col>
      <xdr:colOff>127000</xdr:colOff>
      <xdr:row>148</xdr:row>
      <xdr:rowOff>177800</xdr:rowOff>
    </xdr:from>
    <xdr:to>
      <xdr:col>28</xdr:col>
      <xdr:colOff>203200</xdr:colOff>
      <xdr:row>149</xdr:row>
      <xdr:rowOff>165100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335E4F2-0C81-1B80-E0BF-DF63A50CFE31}"/>
            </a:ext>
          </a:extLst>
        </xdr:cNvPr>
        <xdr:cNvSpPr txBox="1"/>
      </xdr:nvSpPr>
      <xdr:spPr>
        <a:xfrm>
          <a:off x="5842000" y="28371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25</xdr:col>
      <xdr:colOff>127000</xdr:colOff>
      <xdr:row>157</xdr:row>
      <xdr:rowOff>177800</xdr:rowOff>
    </xdr:from>
    <xdr:to>
      <xdr:col>28</xdr:col>
      <xdr:colOff>203200</xdr:colOff>
      <xdr:row>158</xdr:row>
      <xdr:rowOff>165100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8406AC49-E1C5-C757-91B8-3073CAA838CE}"/>
            </a:ext>
          </a:extLst>
        </xdr:cNvPr>
        <xdr:cNvSpPr txBox="1"/>
      </xdr:nvSpPr>
      <xdr:spPr>
        <a:xfrm>
          <a:off x="5842000" y="30086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●●●○○</a:t>
          </a:r>
        </a:p>
      </xdr:txBody>
    </xdr:sp>
    <xdr:clientData/>
  </xdr:twoCellAnchor>
  <xdr:twoCellAnchor>
    <xdr:from>
      <xdr:col>25</xdr:col>
      <xdr:colOff>127000</xdr:colOff>
      <xdr:row>166</xdr:row>
      <xdr:rowOff>177800</xdr:rowOff>
    </xdr:from>
    <xdr:to>
      <xdr:col>28</xdr:col>
      <xdr:colOff>203200</xdr:colOff>
      <xdr:row>167</xdr:row>
      <xdr:rowOff>165100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997A6FD7-5866-A00B-A6D4-83C39FE4F0DD}"/>
            </a:ext>
          </a:extLst>
        </xdr:cNvPr>
        <xdr:cNvSpPr txBox="1"/>
      </xdr:nvSpPr>
      <xdr:spPr>
        <a:xfrm>
          <a:off x="5842000" y="31800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●●●●●</a:t>
          </a:r>
        </a:p>
      </xdr:txBody>
    </xdr:sp>
    <xdr:clientData/>
  </xdr:twoCellAnchor>
  <xdr:twoCellAnchor>
    <xdr:from>
      <xdr:col>25</xdr:col>
      <xdr:colOff>127000</xdr:colOff>
      <xdr:row>175</xdr:row>
      <xdr:rowOff>177800</xdr:rowOff>
    </xdr:from>
    <xdr:to>
      <xdr:col>28</xdr:col>
      <xdr:colOff>203200</xdr:colOff>
      <xdr:row>176</xdr:row>
      <xdr:rowOff>165100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DC56BC9-1D90-976F-4109-BA52C011F9C4}"/>
            </a:ext>
          </a:extLst>
        </xdr:cNvPr>
        <xdr:cNvSpPr txBox="1"/>
      </xdr:nvSpPr>
      <xdr:spPr>
        <a:xfrm>
          <a:off x="5842000" y="33515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49</xdr:col>
      <xdr:colOff>127000</xdr:colOff>
      <xdr:row>94</xdr:row>
      <xdr:rowOff>177800</xdr:rowOff>
    </xdr:from>
    <xdr:to>
      <xdr:col>52</xdr:col>
      <xdr:colOff>203200</xdr:colOff>
      <xdr:row>95</xdr:row>
      <xdr:rowOff>165100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5C165ABC-830A-9CB0-39C6-E626A90173A8}"/>
            </a:ext>
          </a:extLst>
        </xdr:cNvPr>
        <xdr:cNvSpPr txBox="1"/>
      </xdr:nvSpPr>
      <xdr:spPr>
        <a:xfrm>
          <a:off x="11328400" y="18084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●●●○○</a:t>
          </a:r>
        </a:p>
      </xdr:txBody>
    </xdr:sp>
    <xdr:clientData/>
  </xdr:twoCellAnchor>
  <xdr:twoCellAnchor>
    <xdr:from>
      <xdr:col>49</xdr:col>
      <xdr:colOff>127000</xdr:colOff>
      <xdr:row>121</xdr:row>
      <xdr:rowOff>177800</xdr:rowOff>
    </xdr:from>
    <xdr:to>
      <xdr:col>52</xdr:col>
      <xdr:colOff>203200</xdr:colOff>
      <xdr:row>122</xdr:row>
      <xdr:rowOff>165100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3BB7F5C5-0BF9-6C4D-2013-4B90588D7609}"/>
            </a:ext>
          </a:extLst>
        </xdr:cNvPr>
        <xdr:cNvSpPr txBox="1"/>
      </xdr:nvSpPr>
      <xdr:spPr>
        <a:xfrm>
          <a:off x="11328400" y="23228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●●●●○</a:t>
          </a:r>
        </a:p>
      </xdr:txBody>
    </xdr:sp>
    <xdr:clientData/>
  </xdr:twoCellAnchor>
  <xdr:twoCellAnchor>
    <xdr:from>
      <xdr:col>73</xdr:col>
      <xdr:colOff>127000</xdr:colOff>
      <xdr:row>121</xdr:row>
      <xdr:rowOff>177800</xdr:rowOff>
    </xdr:from>
    <xdr:to>
      <xdr:col>76</xdr:col>
      <xdr:colOff>203200</xdr:colOff>
      <xdr:row>122</xdr:row>
      <xdr:rowOff>165100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B112C271-0F09-A9F1-7579-B333F5919209}"/>
            </a:ext>
          </a:extLst>
        </xdr:cNvPr>
        <xdr:cNvSpPr txBox="1"/>
      </xdr:nvSpPr>
      <xdr:spPr>
        <a:xfrm>
          <a:off x="16814800" y="23228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49</xdr:col>
      <xdr:colOff>127000</xdr:colOff>
      <xdr:row>130</xdr:row>
      <xdr:rowOff>177800</xdr:rowOff>
    </xdr:from>
    <xdr:to>
      <xdr:col>52</xdr:col>
      <xdr:colOff>203200</xdr:colOff>
      <xdr:row>131</xdr:row>
      <xdr:rowOff>165100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C3CF8D40-F6F4-6545-9B47-B98339B8A850}"/>
            </a:ext>
          </a:extLst>
        </xdr:cNvPr>
        <xdr:cNvSpPr txBox="1"/>
      </xdr:nvSpPr>
      <xdr:spPr>
        <a:xfrm>
          <a:off x="11328400" y="249428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49</xdr:col>
      <xdr:colOff>127000</xdr:colOff>
      <xdr:row>139</xdr:row>
      <xdr:rowOff>177800</xdr:rowOff>
    </xdr:from>
    <xdr:to>
      <xdr:col>52</xdr:col>
      <xdr:colOff>203200</xdr:colOff>
      <xdr:row>140</xdr:row>
      <xdr:rowOff>165100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67620203-A9CB-E9DA-3EFF-B6CF4380B7EE}"/>
            </a:ext>
          </a:extLst>
        </xdr:cNvPr>
        <xdr:cNvSpPr txBox="1"/>
      </xdr:nvSpPr>
      <xdr:spPr>
        <a:xfrm>
          <a:off x="11328400" y="26657300"/>
          <a:ext cx="76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kumimoji="1" lang="ja-JP" altLang="en-US" sz="700">
              <a:solidFill>
                <a:srgbClr val="E63946"/>
              </a:solidFill>
            </a:rPr>
            <a:t>●○○○○</a:t>
          </a:r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0</xdr:colOff>
      <xdr:row>17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B0108B66-720A-CAEE-B586-9DF18D9F872D}"/>
            </a:ext>
          </a:extLst>
        </xdr:cNvPr>
        <xdr:cNvCxnSpPr/>
      </xdr:nvCxnSpPr>
      <xdr:spPr>
        <a:xfrm>
          <a:off x="4343400" y="2857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24</xdr:row>
      <xdr:rowOff>0</xdr:rowOff>
    </xdr:from>
    <xdr:to>
      <xdr:col>19</xdr:col>
      <xdr:colOff>0</xdr:colOff>
      <xdr:row>26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F06991B1-99D2-1B50-B230-4A2704FDE3B8}"/>
            </a:ext>
          </a:extLst>
        </xdr:cNvPr>
        <xdr:cNvCxnSpPr/>
      </xdr:nvCxnSpPr>
      <xdr:spPr>
        <a:xfrm>
          <a:off x="4343400" y="4572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33</xdr:row>
      <xdr:rowOff>0</xdr:rowOff>
    </xdr:from>
    <xdr:to>
      <xdr:col>19</xdr:col>
      <xdr:colOff>0</xdr:colOff>
      <xdr:row>35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4DBB18B2-60FF-9B1D-C630-2AA2157E0155}"/>
            </a:ext>
          </a:extLst>
        </xdr:cNvPr>
        <xdr:cNvCxnSpPr/>
      </xdr:nvCxnSpPr>
      <xdr:spPr>
        <a:xfrm>
          <a:off x="4343400" y="6286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44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EB57658-C571-2A32-A95F-C64FB243EA2E}"/>
            </a:ext>
          </a:extLst>
        </xdr:cNvPr>
        <xdr:cNvCxnSpPr/>
      </xdr:nvCxnSpPr>
      <xdr:spPr>
        <a:xfrm>
          <a:off x="4343400" y="8001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51</xdr:row>
      <xdr:rowOff>0</xdr:rowOff>
    </xdr:from>
    <xdr:to>
      <xdr:col>19</xdr:col>
      <xdr:colOff>0</xdr:colOff>
      <xdr:row>53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B8A19CC2-0CC8-1FD8-0AF1-FFA002E9A0F2}"/>
            </a:ext>
          </a:extLst>
        </xdr:cNvPr>
        <xdr:cNvCxnSpPr/>
      </xdr:nvCxnSpPr>
      <xdr:spPr>
        <a:xfrm>
          <a:off x="4343400" y="9715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60</xdr:row>
      <xdr:rowOff>0</xdr:rowOff>
    </xdr:from>
    <xdr:to>
      <xdr:col>19</xdr:col>
      <xdr:colOff>0</xdr:colOff>
      <xdr:row>62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4FD6B5DF-8CD6-7324-072C-AEBC9D5CDAA2}"/>
            </a:ext>
          </a:extLst>
        </xdr:cNvPr>
        <xdr:cNvCxnSpPr/>
      </xdr:nvCxnSpPr>
      <xdr:spPr>
        <a:xfrm>
          <a:off x="4343400" y="11430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69</xdr:row>
      <xdr:rowOff>0</xdr:rowOff>
    </xdr:from>
    <xdr:to>
      <xdr:col>19</xdr:col>
      <xdr:colOff>0</xdr:colOff>
      <xdr:row>71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CBBD11F1-37C2-63DE-5340-FDB4A592550A}"/>
            </a:ext>
          </a:extLst>
        </xdr:cNvPr>
        <xdr:cNvCxnSpPr/>
      </xdr:nvCxnSpPr>
      <xdr:spPr>
        <a:xfrm>
          <a:off x="4343400" y="13144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78</xdr:row>
      <xdr:rowOff>0</xdr:rowOff>
    </xdr:from>
    <xdr:to>
      <xdr:col>19</xdr:col>
      <xdr:colOff>0</xdr:colOff>
      <xdr:row>80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27C49DBE-421F-5025-9E0E-3739B57B3804}"/>
            </a:ext>
          </a:extLst>
        </xdr:cNvPr>
        <xdr:cNvCxnSpPr/>
      </xdr:nvCxnSpPr>
      <xdr:spPr>
        <a:xfrm>
          <a:off x="4343400" y="14859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87</xdr:row>
      <xdr:rowOff>0</xdr:rowOff>
    </xdr:from>
    <xdr:to>
      <xdr:col>19</xdr:col>
      <xdr:colOff>0</xdr:colOff>
      <xdr:row>89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602CCE54-452F-53A0-EC55-B7AC5C15DC90}"/>
            </a:ext>
          </a:extLst>
        </xdr:cNvPr>
        <xdr:cNvCxnSpPr/>
      </xdr:nvCxnSpPr>
      <xdr:spPr>
        <a:xfrm>
          <a:off x="4343400" y="16573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0</xdr:colOff>
      <xdr:row>98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B12AFED2-7BF5-B6B8-0B83-8BA32292CE2B}"/>
            </a:ext>
          </a:extLst>
        </xdr:cNvPr>
        <xdr:cNvCxnSpPr/>
      </xdr:nvCxnSpPr>
      <xdr:spPr>
        <a:xfrm>
          <a:off x="4343400" y="18288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105</xdr:row>
      <xdr:rowOff>0</xdr:rowOff>
    </xdr:from>
    <xdr:to>
      <xdr:col>19</xdr:col>
      <xdr:colOff>0</xdr:colOff>
      <xdr:row>107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4C3CC36B-879B-3870-5F85-40EA0335C546}"/>
            </a:ext>
          </a:extLst>
        </xdr:cNvPr>
        <xdr:cNvCxnSpPr/>
      </xdr:nvCxnSpPr>
      <xdr:spPr>
        <a:xfrm>
          <a:off x="4343400" y="20002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114</xdr:row>
      <xdr:rowOff>0</xdr:rowOff>
    </xdr:from>
    <xdr:to>
      <xdr:col>19</xdr:col>
      <xdr:colOff>0</xdr:colOff>
      <xdr:row>116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5BC7F4B4-3512-3117-6FF8-BED59949E9F4}"/>
            </a:ext>
          </a:extLst>
        </xdr:cNvPr>
        <xdr:cNvCxnSpPr/>
      </xdr:nvCxnSpPr>
      <xdr:spPr>
        <a:xfrm>
          <a:off x="4343400" y="21717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123</xdr:row>
      <xdr:rowOff>0</xdr:rowOff>
    </xdr:from>
    <xdr:to>
      <xdr:col>19</xdr:col>
      <xdr:colOff>0</xdr:colOff>
      <xdr:row>125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8C7CE085-3F67-970D-9D2A-6D4BDB08E098}"/>
            </a:ext>
          </a:extLst>
        </xdr:cNvPr>
        <xdr:cNvCxnSpPr/>
      </xdr:nvCxnSpPr>
      <xdr:spPr>
        <a:xfrm>
          <a:off x="4343400" y="23431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132</xdr:row>
      <xdr:rowOff>0</xdr:rowOff>
    </xdr:from>
    <xdr:to>
      <xdr:col>19</xdr:col>
      <xdr:colOff>0</xdr:colOff>
      <xdr:row>134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8A32A7A6-38C6-4C05-9045-1D1D63A68A64}"/>
            </a:ext>
          </a:extLst>
        </xdr:cNvPr>
        <xdr:cNvCxnSpPr/>
      </xdr:nvCxnSpPr>
      <xdr:spPr>
        <a:xfrm>
          <a:off x="4343400" y="25146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141</xdr:row>
      <xdr:rowOff>0</xdr:rowOff>
    </xdr:from>
    <xdr:to>
      <xdr:col>19</xdr:col>
      <xdr:colOff>0</xdr:colOff>
      <xdr:row>143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AA2875C7-3985-EDC0-F047-43768393AA00}"/>
            </a:ext>
          </a:extLst>
        </xdr:cNvPr>
        <xdr:cNvCxnSpPr/>
      </xdr:nvCxnSpPr>
      <xdr:spPr>
        <a:xfrm>
          <a:off x="4343400" y="26860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150</xdr:row>
      <xdr:rowOff>0</xdr:rowOff>
    </xdr:from>
    <xdr:to>
      <xdr:col>19</xdr:col>
      <xdr:colOff>0</xdr:colOff>
      <xdr:row>152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86CCEB60-9608-EA8A-D742-5BD6398B93A7}"/>
            </a:ext>
          </a:extLst>
        </xdr:cNvPr>
        <xdr:cNvCxnSpPr/>
      </xdr:nvCxnSpPr>
      <xdr:spPr>
        <a:xfrm>
          <a:off x="4343400" y="28575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159</xdr:row>
      <xdr:rowOff>0</xdr:rowOff>
    </xdr:from>
    <xdr:to>
      <xdr:col>19</xdr:col>
      <xdr:colOff>0</xdr:colOff>
      <xdr:row>161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6D664175-0813-1ED7-CC6B-D6026067457A}"/>
            </a:ext>
          </a:extLst>
        </xdr:cNvPr>
        <xdr:cNvCxnSpPr/>
      </xdr:nvCxnSpPr>
      <xdr:spPr>
        <a:xfrm>
          <a:off x="4343400" y="302895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168</xdr:row>
      <xdr:rowOff>0</xdr:rowOff>
    </xdr:from>
    <xdr:to>
      <xdr:col>19</xdr:col>
      <xdr:colOff>0</xdr:colOff>
      <xdr:row>170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4BEC0796-88ED-5758-DFB6-BF2938D68212}"/>
            </a:ext>
          </a:extLst>
        </xdr:cNvPr>
        <xdr:cNvCxnSpPr/>
      </xdr:nvCxnSpPr>
      <xdr:spPr>
        <a:xfrm>
          <a:off x="4343400" y="32004000"/>
          <a:ext cx="0" cy="381000"/>
        </a:xfrm>
        <a:prstGeom prst="straightConnector1">
          <a:avLst/>
        </a:prstGeom>
        <a:ln w="31750">
          <a:solidFill>
            <a:srgbClr val="9CC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89</xdr:row>
      <xdr:rowOff>152400</xdr:rowOff>
    </xdr:from>
    <xdr:to>
      <xdr:col>33</xdr:col>
      <xdr:colOff>0</xdr:colOff>
      <xdr:row>89</xdr:row>
      <xdr:rowOff>152400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80667C5D-F5D6-A79E-9DBD-FF7A9D00481F}"/>
            </a:ext>
          </a:extLst>
        </xdr:cNvPr>
        <xdr:cNvCxnSpPr/>
      </xdr:nvCxnSpPr>
      <xdr:spPr>
        <a:xfrm>
          <a:off x="6629400" y="17106900"/>
          <a:ext cx="914400" cy="0"/>
        </a:xfrm>
        <a:prstGeom prst="bentConnector3">
          <a:avLst/>
        </a:prstGeom>
        <a:ln w="25400">
          <a:solidFill>
            <a:srgbClr val="90BE6D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116</xdr:row>
      <xdr:rowOff>152400</xdr:rowOff>
    </xdr:from>
    <xdr:to>
      <xdr:col>33</xdr:col>
      <xdr:colOff>0</xdr:colOff>
      <xdr:row>116</xdr:row>
      <xdr:rowOff>152400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57F233BC-0C5B-A147-202F-E2DDFA686A3D}"/>
            </a:ext>
          </a:extLst>
        </xdr:cNvPr>
        <xdr:cNvCxnSpPr/>
      </xdr:nvCxnSpPr>
      <xdr:spPr>
        <a:xfrm>
          <a:off x="6629400" y="22250400"/>
          <a:ext cx="914400" cy="0"/>
        </a:xfrm>
        <a:prstGeom prst="bentConnector3">
          <a:avLst/>
        </a:prstGeom>
        <a:ln w="25400">
          <a:solidFill>
            <a:srgbClr val="90BE6D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116</xdr:row>
      <xdr:rowOff>152400</xdr:rowOff>
    </xdr:from>
    <xdr:to>
      <xdr:col>57</xdr:col>
      <xdr:colOff>0</xdr:colOff>
      <xdr:row>116</xdr:row>
      <xdr:rowOff>152400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5E2D1BB8-92FA-65D1-B3E4-DD24B140EE03}"/>
            </a:ext>
          </a:extLst>
        </xdr:cNvPr>
        <xdr:cNvCxnSpPr/>
      </xdr:nvCxnSpPr>
      <xdr:spPr>
        <a:xfrm>
          <a:off x="12115800" y="22250400"/>
          <a:ext cx="914400" cy="0"/>
        </a:xfrm>
        <a:prstGeom prst="bentConnector3">
          <a:avLst/>
        </a:prstGeom>
        <a:ln w="25400">
          <a:solidFill>
            <a:srgbClr val="90BE6D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125</xdr:row>
      <xdr:rowOff>152400</xdr:rowOff>
    </xdr:from>
    <xdr:to>
      <xdr:col>33</xdr:col>
      <xdr:colOff>0</xdr:colOff>
      <xdr:row>125</xdr:row>
      <xdr:rowOff>152400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533D68E0-E81E-6C9E-C614-8921F41BB773}"/>
            </a:ext>
          </a:extLst>
        </xdr:cNvPr>
        <xdr:cNvCxnSpPr/>
      </xdr:nvCxnSpPr>
      <xdr:spPr>
        <a:xfrm>
          <a:off x="6629400" y="23964900"/>
          <a:ext cx="914400" cy="0"/>
        </a:xfrm>
        <a:prstGeom prst="bentConnector3">
          <a:avLst/>
        </a:prstGeom>
        <a:ln w="25400">
          <a:solidFill>
            <a:srgbClr val="90BE6D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125</xdr:row>
      <xdr:rowOff>152400</xdr:rowOff>
    </xdr:from>
    <xdr:to>
      <xdr:col>33</xdr:col>
      <xdr:colOff>0</xdr:colOff>
      <xdr:row>134</xdr:row>
      <xdr:rowOff>152400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0E7F0348-BF18-3085-FD6C-9B7E79522ABA}"/>
            </a:ext>
          </a:extLst>
        </xdr:cNvPr>
        <xdr:cNvCxnSpPr/>
      </xdr:nvCxnSpPr>
      <xdr:spPr>
        <a:xfrm>
          <a:off x="6629400" y="23964900"/>
          <a:ext cx="914400" cy="1714500"/>
        </a:xfrm>
        <a:prstGeom prst="bentConnector3">
          <a:avLst/>
        </a:prstGeom>
        <a:ln w="25400">
          <a:solidFill>
            <a:srgbClr val="90BE6D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24</xdr:col>
      <xdr:colOff>330200</xdr:colOff>
      <xdr:row>13</xdr:row>
      <xdr:rowOff>73025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2287120-EE4C-BE14-C25E-8264D1258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keeda.com/esports/ninja-gaiden-4-walkthrough-how-complete-dark-descendant-chapter-0" TargetMode="External"/><Relationship Id="rId2" Type="http://schemas.openxmlformats.org/officeDocument/2006/relationships/hyperlink" Target="https://ninjagaiden.fandom.com/wiki/Chapter_1:_Bloodsoaked_Tokyo" TargetMode="External"/><Relationship Id="rId1" Type="http://schemas.openxmlformats.org/officeDocument/2006/relationships/hyperlink" Target="https://ninjagaiden.fandom.com/wiki/Chapter_0:_Dark_Descendant" TargetMode="External"/><Relationship Id="rId6" Type="http://schemas.openxmlformats.org/officeDocument/2006/relationships/hyperlink" Target="https://www.youtube.com/watch?v=wfZ_E3pCbQg" TargetMode="External"/><Relationship Id="rId5" Type="http://schemas.openxmlformats.org/officeDocument/2006/relationships/hyperlink" Target="https://deltiasgaming.com/ninja-gaiden-4-how-to-defeat-ddo-commander/" TargetMode="External"/><Relationship Id="rId4" Type="http://schemas.openxmlformats.org/officeDocument/2006/relationships/hyperlink" Target="https://www.sportskeeda.com/esports/ninja-gaiden-4-walkthrough-how-complete-bloodsoaked-tokyo-chapter-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wfZ_E3pCbQg&amp;t=888s" TargetMode="External"/><Relationship Id="rId3" Type="http://schemas.openxmlformats.org/officeDocument/2006/relationships/hyperlink" Target="https://www.youtube.com/watch?v=wfZ_E3pCbQg&amp;t=745s" TargetMode="External"/><Relationship Id="rId7" Type="http://schemas.openxmlformats.org/officeDocument/2006/relationships/hyperlink" Target="https://www.youtube.com/watch?v=wfZ_E3pCbQg&amp;t=865s" TargetMode="External"/><Relationship Id="rId2" Type="http://schemas.openxmlformats.org/officeDocument/2006/relationships/hyperlink" Target="https://www.youtube.com/watch?v=wfZ_E3pCbQg&amp;t=660s" TargetMode="External"/><Relationship Id="rId1" Type="http://schemas.openxmlformats.org/officeDocument/2006/relationships/hyperlink" Target="https://www.youtube.com/watch?v=wfZ_E3pCbQg&amp;t=50s" TargetMode="External"/><Relationship Id="rId6" Type="http://schemas.openxmlformats.org/officeDocument/2006/relationships/hyperlink" Target="https://www.youtube.com/watch?v=wfZ_E3pCbQg&amp;t=850s" TargetMode="External"/><Relationship Id="rId5" Type="http://schemas.openxmlformats.org/officeDocument/2006/relationships/hyperlink" Target="https://www.youtube.com/watch?v=wfZ_E3pCbQg&amp;t=820s" TargetMode="External"/><Relationship Id="rId10" Type="http://schemas.openxmlformats.org/officeDocument/2006/relationships/hyperlink" Target="https://www.youtube.com/watch?v=wfZ_E3pCbQg&amp;t=1290s" TargetMode="External"/><Relationship Id="rId4" Type="http://schemas.openxmlformats.org/officeDocument/2006/relationships/hyperlink" Target="https://www.youtube.com/watch?v=wfZ_E3pCbQg&amp;t=780s" TargetMode="External"/><Relationship Id="rId9" Type="http://schemas.openxmlformats.org/officeDocument/2006/relationships/hyperlink" Target="https://www.youtube.com/watch?v=wfZ_E3pCbQg&amp;t=900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wfZ_E3pCbQg&amp;t=2470s" TargetMode="External"/><Relationship Id="rId13" Type="http://schemas.openxmlformats.org/officeDocument/2006/relationships/hyperlink" Target="https://www.youtube.com/watch?v=wfZ_E3pCbQg&amp;t=2845s" TargetMode="External"/><Relationship Id="rId18" Type="http://schemas.openxmlformats.org/officeDocument/2006/relationships/hyperlink" Target="https://www.youtube.com/watch?v=wfZ_E3pCbQg&amp;t=3330s" TargetMode="External"/><Relationship Id="rId26" Type="http://schemas.openxmlformats.org/officeDocument/2006/relationships/hyperlink" Target="https://www.youtube.com/watch?v=wfZ_E3pCbQg&amp;t=4320s" TargetMode="External"/><Relationship Id="rId3" Type="http://schemas.openxmlformats.org/officeDocument/2006/relationships/hyperlink" Target="https://www.youtube.com/watch?v=wfZ_E3pCbQg&amp;t=1590s" TargetMode="External"/><Relationship Id="rId21" Type="http://schemas.openxmlformats.org/officeDocument/2006/relationships/hyperlink" Target="https://www.youtube.com/watch?v=wfZ_E3pCbQg&amp;t=3720s" TargetMode="External"/><Relationship Id="rId7" Type="http://schemas.openxmlformats.org/officeDocument/2006/relationships/hyperlink" Target="https://www.youtube.com/watch?v=wfZ_E3pCbQg&amp;t=2440s" TargetMode="External"/><Relationship Id="rId12" Type="http://schemas.openxmlformats.org/officeDocument/2006/relationships/hyperlink" Target="https://www.youtube.com/watch?v=wfZ_E3pCbQg&amp;t=2830s" TargetMode="External"/><Relationship Id="rId17" Type="http://schemas.openxmlformats.org/officeDocument/2006/relationships/hyperlink" Target="https://www.youtube.com/watch?v=wfZ_E3pCbQg&amp;t=3110s" TargetMode="External"/><Relationship Id="rId25" Type="http://schemas.openxmlformats.org/officeDocument/2006/relationships/hyperlink" Target="https://www.youtube.com/watch?v=wfZ_E3pCbQg&amp;t=4140s" TargetMode="External"/><Relationship Id="rId2" Type="http://schemas.openxmlformats.org/officeDocument/2006/relationships/hyperlink" Target="https://www.youtube.com/watch?v=wfZ_E3pCbQg&amp;t=1500s" TargetMode="External"/><Relationship Id="rId16" Type="http://schemas.openxmlformats.org/officeDocument/2006/relationships/hyperlink" Target="https://www.youtube.com/watch?v=wfZ_E3pCbQg&amp;t=3040s" TargetMode="External"/><Relationship Id="rId20" Type="http://schemas.openxmlformats.org/officeDocument/2006/relationships/hyperlink" Target="https://www.youtube.com/watch?v=wfZ_E3pCbQg&amp;t=3690s" TargetMode="External"/><Relationship Id="rId29" Type="http://schemas.openxmlformats.org/officeDocument/2006/relationships/hyperlink" Target="https://www.youtube.com/watch?v=wfZ_E3pCbQg&amp;t=4540s" TargetMode="External"/><Relationship Id="rId1" Type="http://schemas.openxmlformats.org/officeDocument/2006/relationships/hyperlink" Target="https://www.youtube.com/watch?v=wfZ_E3pCbQg&amp;t=1372s" TargetMode="External"/><Relationship Id="rId6" Type="http://schemas.openxmlformats.org/officeDocument/2006/relationships/hyperlink" Target="https://www.youtube.com/watch?v=wfZ_E3pCbQg&amp;t=1825s" TargetMode="External"/><Relationship Id="rId11" Type="http://schemas.openxmlformats.org/officeDocument/2006/relationships/hyperlink" Target="https://www.youtube.com/watch?v=wfZ_E3pCbQg&amp;t=2650s" TargetMode="External"/><Relationship Id="rId24" Type="http://schemas.openxmlformats.org/officeDocument/2006/relationships/hyperlink" Target="https://www.youtube.com/watch?v=wfZ_E3pCbQg&amp;t=3990s" TargetMode="External"/><Relationship Id="rId5" Type="http://schemas.openxmlformats.org/officeDocument/2006/relationships/hyperlink" Target="https://www.youtube.com/watch?v=wfZ_E3pCbQg&amp;t=1772s" TargetMode="External"/><Relationship Id="rId15" Type="http://schemas.openxmlformats.org/officeDocument/2006/relationships/hyperlink" Target="https://www.youtube.com/watch?v=wfZ_E3pCbQg&amp;t=3000s" TargetMode="External"/><Relationship Id="rId23" Type="http://schemas.openxmlformats.org/officeDocument/2006/relationships/hyperlink" Target="https://www.youtube.com/watch?v=wfZ_E3pCbQg&amp;t=3920s" TargetMode="External"/><Relationship Id="rId28" Type="http://schemas.openxmlformats.org/officeDocument/2006/relationships/hyperlink" Target="https://www.youtube.com/watch?v=wfZ_E3pCbQg&amp;t=4470s" TargetMode="External"/><Relationship Id="rId10" Type="http://schemas.openxmlformats.org/officeDocument/2006/relationships/hyperlink" Target="https://www.youtube.com/watch?v=wfZ_E3pCbQg&amp;t=2580s" TargetMode="External"/><Relationship Id="rId19" Type="http://schemas.openxmlformats.org/officeDocument/2006/relationships/hyperlink" Target="https://www.youtube.com/watch?v=wfZ_E3pCbQg&amp;t=3420s" TargetMode="External"/><Relationship Id="rId4" Type="http://schemas.openxmlformats.org/officeDocument/2006/relationships/hyperlink" Target="https://www.youtube.com/watch?v=wfZ_E3pCbQg&amp;t=1745s" TargetMode="External"/><Relationship Id="rId9" Type="http://schemas.openxmlformats.org/officeDocument/2006/relationships/hyperlink" Target="https://www.youtube.com/watch?v=wfZ_E3pCbQg&amp;t=2495s" TargetMode="External"/><Relationship Id="rId14" Type="http://schemas.openxmlformats.org/officeDocument/2006/relationships/hyperlink" Target="https://www.youtube.com/watch?v=wfZ_E3pCbQg&amp;t=2930s" TargetMode="External"/><Relationship Id="rId22" Type="http://schemas.openxmlformats.org/officeDocument/2006/relationships/hyperlink" Target="https://www.youtube.com/watch?v=wfZ_E3pCbQg&amp;t=3780s" TargetMode="External"/><Relationship Id="rId27" Type="http://schemas.openxmlformats.org/officeDocument/2006/relationships/hyperlink" Target="https://www.youtube.com/watch?v=wfZ_E3pCbQg&amp;t=4350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6022-1A2D-4768-BD14-71FE2D6DA624}">
  <dimension ref="B1:D35"/>
  <sheetViews>
    <sheetView showGridLines="0" topLeftCell="A17" workbookViewId="0"/>
  </sheetViews>
  <sheetFormatPr defaultRowHeight="15.75" x14ac:dyDescent="0.4"/>
  <cols>
    <col min="1" max="1" width="2.625" style="1" customWidth="1"/>
    <col min="2" max="2" width="22.625" style="1" customWidth="1"/>
    <col min="3" max="4" width="45.625" style="1" customWidth="1"/>
    <col min="5" max="16384" width="9" style="1"/>
  </cols>
  <sheetData>
    <row r="1" spans="2:4" x14ac:dyDescent="0.4">
      <c r="B1" s="1100" t="s">
        <v>359</v>
      </c>
      <c r="C1" s="1100"/>
      <c r="D1" s="1100"/>
    </row>
    <row r="2" spans="2:4" x14ac:dyDescent="0.4">
      <c r="B2" s="1100"/>
      <c r="C2" s="1100"/>
      <c r="D2" s="1100"/>
    </row>
    <row r="4" spans="2:4" x14ac:dyDescent="0.4">
      <c r="B4" s="34"/>
      <c r="C4" s="34" t="s">
        <v>360</v>
      </c>
      <c r="D4" s="34" t="s">
        <v>361</v>
      </c>
    </row>
    <row r="5" spans="2:4" x14ac:dyDescent="0.4">
      <c r="B5" s="39" t="s">
        <v>362</v>
      </c>
      <c r="C5" s="33" t="s">
        <v>363</v>
      </c>
      <c r="D5" s="33" t="s">
        <v>364</v>
      </c>
    </row>
    <row r="6" spans="2:4" ht="28.5" x14ac:dyDescent="0.4">
      <c r="B6" s="39" t="s">
        <v>365</v>
      </c>
      <c r="C6" s="33" t="s">
        <v>366</v>
      </c>
      <c r="D6" s="33" t="s">
        <v>367</v>
      </c>
    </row>
    <row r="7" spans="2:4" x14ac:dyDescent="0.4">
      <c r="B7" s="39" t="s">
        <v>368</v>
      </c>
      <c r="C7" s="33" t="s">
        <v>369</v>
      </c>
      <c r="D7" s="33" t="s">
        <v>370</v>
      </c>
    </row>
    <row r="8" spans="2:4" x14ac:dyDescent="0.4">
      <c r="B8" s="39" t="s">
        <v>5</v>
      </c>
      <c r="C8" s="33" t="s">
        <v>371</v>
      </c>
      <c r="D8" s="33" t="s">
        <v>328</v>
      </c>
    </row>
    <row r="9" spans="2:4" ht="28.5" x14ac:dyDescent="0.4">
      <c r="B9" s="39" t="s">
        <v>372</v>
      </c>
      <c r="C9" s="33" t="s">
        <v>373</v>
      </c>
      <c r="D9" s="33" t="s">
        <v>374</v>
      </c>
    </row>
    <row r="10" spans="2:4" x14ac:dyDescent="0.4">
      <c r="B10" s="39" t="s">
        <v>375</v>
      </c>
      <c r="C10" s="33" t="s">
        <v>376</v>
      </c>
      <c r="D10" s="33" t="s">
        <v>377</v>
      </c>
    </row>
    <row r="11" spans="2:4" x14ac:dyDescent="0.4">
      <c r="B11" s="39" t="s">
        <v>378</v>
      </c>
      <c r="C11" s="33" t="s">
        <v>376</v>
      </c>
      <c r="D11" s="33" t="s">
        <v>379</v>
      </c>
    </row>
    <row r="12" spans="2:4" ht="28.5" x14ac:dyDescent="0.4">
      <c r="B12" s="39" t="s">
        <v>380</v>
      </c>
      <c r="C12" s="33" t="s">
        <v>381</v>
      </c>
      <c r="D12" s="33" t="s">
        <v>382</v>
      </c>
    </row>
    <row r="15" spans="2:4" ht="16.5" x14ac:dyDescent="0.4">
      <c r="B15" s="36" t="s">
        <v>383</v>
      </c>
    </row>
    <row r="16" spans="2:4" ht="30" customHeight="1" x14ac:dyDescent="0.4">
      <c r="B16" s="1" t="s">
        <v>384</v>
      </c>
      <c r="C16" s="1099" t="s">
        <v>385</v>
      </c>
      <c r="D16" s="1099"/>
    </row>
    <row r="17" spans="2:4" ht="30" customHeight="1" x14ac:dyDescent="0.4">
      <c r="B17" s="1" t="s">
        <v>386</v>
      </c>
      <c r="C17" s="1099" t="s">
        <v>387</v>
      </c>
      <c r="D17" s="1099"/>
    </row>
    <row r="18" spans="2:4" ht="30" customHeight="1" x14ac:dyDescent="0.4">
      <c r="B18" s="1" t="s">
        <v>388</v>
      </c>
      <c r="C18" s="1099" t="s">
        <v>389</v>
      </c>
      <c r="D18" s="1099"/>
    </row>
    <row r="20" spans="2:4" ht="16.5" x14ac:dyDescent="0.4">
      <c r="B20" s="36" t="s">
        <v>390</v>
      </c>
    </row>
    <row r="21" spans="2:4" ht="27.95" customHeight="1" x14ac:dyDescent="0.4">
      <c r="B21" s="1099" t="s">
        <v>391</v>
      </c>
      <c r="C21" s="1099"/>
      <c r="D21" s="1099"/>
    </row>
    <row r="22" spans="2:4" ht="27.95" customHeight="1" x14ac:dyDescent="0.4">
      <c r="B22" s="1099" t="s">
        <v>392</v>
      </c>
      <c r="C22" s="1099"/>
      <c r="D22" s="1099"/>
    </row>
    <row r="23" spans="2:4" ht="27.95" customHeight="1" x14ac:dyDescent="0.4">
      <c r="B23" s="1099" t="s">
        <v>393</v>
      </c>
      <c r="C23" s="1099"/>
      <c r="D23" s="1099"/>
    </row>
    <row r="24" spans="2:4" ht="27.95" customHeight="1" x14ac:dyDescent="0.4">
      <c r="B24" s="1099" t="s">
        <v>394</v>
      </c>
      <c r="C24" s="1099"/>
      <c r="D24" s="1099"/>
    </row>
    <row r="26" spans="2:4" ht="16.5" x14ac:dyDescent="0.4">
      <c r="B26" s="36" t="s">
        <v>395</v>
      </c>
    </row>
    <row r="27" spans="2:4" ht="18.75" x14ac:dyDescent="0.4">
      <c r="B27" s="40" t="s">
        <v>396</v>
      </c>
    </row>
    <row r="28" spans="2:4" ht="18.75" x14ac:dyDescent="0.4">
      <c r="B28" s="40" t="s">
        <v>397</v>
      </c>
    </row>
    <row r="29" spans="2:4" ht="18.75" x14ac:dyDescent="0.4">
      <c r="B29" s="40" t="s">
        <v>398</v>
      </c>
    </row>
    <row r="30" spans="2:4" ht="18.75" x14ac:dyDescent="0.4">
      <c r="B30" s="40" t="s">
        <v>399</v>
      </c>
    </row>
    <row r="31" spans="2:4" ht="18.75" x14ac:dyDescent="0.4">
      <c r="B31" s="40" t="s">
        <v>400</v>
      </c>
    </row>
    <row r="33" spans="2:4" ht="16.5" x14ac:dyDescent="0.4">
      <c r="B33" s="36" t="s">
        <v>1101</v>
      </c>
    </row>
    <row r="34" spans="2:4" ht="45" customHeight="1" x14ac:dyDescent="0.4">
      <c r="B34" s="1099" t="s">
        <v>1102</v>
      </c>
      <c r="C34" s="1099"/>
      <c r="D34" s="1099"/>
    </row>
    <row r="35" spans="2:4" ht="18.75" x14ac:dyDescent="0.4">
      <c r="B35" s="1" t="s">
        <v>401</v>
      </c>
      <c r="C35" s="40" t="s">
        <v>402</v>
      </c>
    </row>
  </sheetData>
  <mergeCells count="9">
    <mergeCell ref="B34:D34"/>
    <mergeCell ref="B23:D23"/>
    <mergeCell ref="B24:D24"/>
    <mergeCell ref="B1:D2"/>
    <mergeCell ref="C16:D16"/>
    <mergeCell ref="C17:D17"/>
    <mergeCell ref="C18:D18"/>
    <mergeCell ref="B21:D21"/>
    <mergeCell ref="B22:D22"/>
  </mergeCells>
  <phoneticPr fontId="2"/>
  <hyperlinks>
    <hyperlink ref="B27" r:id="rId1" xr:uid="{448775D0-2042-440B-B3C6-16D88B815593}"/>
    <hyperlink ref="B28" r:id="rId2" xr:uid="{79BF799A-4B66-40A2-86F7-7E378AEF3B92}"/>
    <hyperlink ref="B29" r:id="rId3" xr:uid="{01E4CE4A-8A30-4D87-B3AC-858EF1D92A51}"/>
    <hyperlink ref="B30" r:id="rId4" xr:uid="{D6F769A0-EE45-4201-8220-6CE5DE541DBB}"/>
    <hyperlink ref="B31" r:id="rId5" xr:uid="{A9FD0597-CFE4-4547-BF21-714A51FD489F}"/>
    <hyperlink ref="C35" r:id="rId6" xr:uid="{D0AE374E-17CB-4B21-9961-1FB75B719E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54A6-62E0-45D1-A967-C419E8BF7137}">
  <dimension ref="B1:BU286"/>
  <sheetViews>
    <sheetView showGridLines="0" zoomScale="85" zoomScaleNormal="85" workbookViewId="0"/>
  </sheetViews>
  <sheetFormatPr defaultRowHeight="10.5" x14ac:dyDescent="0.4"/>
  <cols>
    <col min="1" max="69" width="2.75" style="41" customWidth="1"/>
    <col min="70" max="73" width="14.625" style="41" customWidth="1"/>
    <col min="74" max="16384" width="9" style="41"/>
  </cols>
  <sheetData>
    <row r="1" spans="2:73" ht="21" x14ac:dyDescent="0.4">
      <c r="B1" s="42" t="s">
        <v>403</v>
      </c>
    </row>
    <row r="2" spans="2:73" ht="12.75" thickBot="1" x14ac:dyDescent="0.45">
      <c r="B2" s="43" t="s">
        <v>404</v>
      </c>
    </row>
    <row r="3" spans="2:73" ht="16.5" thickBot="1" x14ac:dyDescent="0.45">
      <c r="B3" s="996" t="s">
        <v>1103</v>
      </c>
      <c r="AB3" s="1096" t="s">
        <v>1104</v>
      </c>
      <c r="AC3" s="1097"/>
      <c r="AD3" s="1098"/>
    </row>
    <row r="4" spans="2:73" ht="14.25" x14ac:dyDescent="0.4">
      <c r="B4" s="44" t="s">
        <v>405</v>
      </c>
    </row>
    <row r="5" spans="2:73" ht="12" x14ac:dyDescent="0.4">
      <c r="B5" s="45"/>
      <c r="C5" s="46" t="s">
        <v>406</v>
      </c>
      <c r="L5" s="47"/>
      <c r="M5" s="46" t="s">
        <v>407</v>
      </c>
      <c r="V5" s="48"/>
      <c r="W5" s="46" t="s">
        <v>408</v>
      </c>
      <c r="AF5" s="49"/>
      <c r="AG5" s="46" t="s">
        <v>409</v>
      </c>
      <c r="AP5" s="50"/>
      <c r="AQ5" s="46" t="s">
        <v>410</v>
      </c>
      <c r="AZ5" s="51"/>
      <c r="BA5" s="46" t="s">
        <v>411</v>
      </c>
      <c r="BJ5" s="52"/>
      <c r="BK5" s="46" t="s">
        <v>412</v>
      </c>
      <c r="BT5" s="53"/>
      <c r="BU5" s="46" t="s">
        <v>413</v>
      </c>
    </row>
    <row r="6" spans="2:73" ht="12" x14ac:dyDescent="0.4">
      <c r="B6" s="54"/>
      <c r="C6" s="46" t="s">
        <v>414</v>
      </c>
      <c r="L6" s="55"/>
      <c r="M6" s="46" t="s">
        <v>415</v>
      </c>
      <c r="V6" s="56"/>
      <c r="W6" s="46" t="s">
        <v>416</v>
      </c>
      <c r="AF6" s="57"/>
      <c r="AG6" s="46" t="s">
        <v>417</v>
      </c>
      <c r="AP6" s="58"/>
      <c r="AQ6" s="46" t="s">
        <v>418</v>
      </c>
      <c r="AZ6" s="59"/>
      <c r="BA6" s="46" t="s">
        <v>419</v>
      </c>
      <c r="BJ6" s="60"/>
      <c r="BK6" s="46" t="s">
        <v>420</v>
      </c>
      <c r="BT6" s="61"/>
      <c r="BU6" s="46" t="s">
        <v>421</v>
      </c>
    </row>
    <row r="7" spans="2:73" ht="12" x14ac:dyDescent="0.4">
      <c r="B7" s="62"/>
      <c r="C7" s="46" t="s">
        <v>422</v>
      </c>
      <c r="L7" s="63"/>
      <c r="M7" s="46" t="s">
        <v>423</v>
      </c>
      <c r="V7" s="64"/>
      <c r="W7" s="46" t="s">
        <v>424</v>
      </c>
      <c r="AF7" s="65"/>
      <c r="AG7" s="46" t="s">
        <v>425</v>
      </c>
      <c r="AP7" s="66"/>
      <c r="AQ7" s="46" t="s">
        <v>426</v>
      </c>
      <c r="AZ7" s="67"/>
      <c r="BA7" s="46" t="s">
        <v>427</v>
      </c>
      <c r="BJ7" s="68"/>
      <c r="BK7" s="46" t="s">
        <v>428</v>
      </c>
      <c r="BT7" s="69"/>
      <c r="BU7" s="46" t="s">
        <v>429</v>
      </c>
    </row>
    <row r="8" spans="2:73" ht="12" x14ac:dyDescent="0.4">
      <c r="B8" s="70"/>
      <c r="C8" s="46" t="s">
        <v>430</v>
      </c>
      <c r="L8" s="71"/>
      <c r="M8" s="46" t="s">
        <v>431</v>
      </c>
      <c r="V8" s="72"/>
      <c r="W8" s="46" t="s">
        <v>432</v>
      </c>
      <c r="AF8" s="73"/>
      <c r="AG8" s="46" t="s">
        <v>433</v>
      </c>
      <c r="AP8" s="74"/>
      <c r="AQ8" s="46" t="s">
        <v>434</v>
      </c>
      <c r="AZ8" s="75"/>
      <c r="BA8" s="46" t="s">
        <v>435</v>
      </c>
      <c r="BJ8" s="76"/>
      <c r="BK8" s="46" t="s">
        <v>436</v>
      </c>
      <c r="BT8" s="77"/>
      <c r="BU8" s="46" t="s">
        <v>437</v>
      </c>
    </row>
    <row r="9" spans="2:73" ht="12" x14ac:dyDescent="0.4">
      <c r="B9" s="78"/>
      <c r="C9" s="46" t="s">
        <v>438</v>
      </c>
      <c r="L9" s="79"/>
      <c r="M9" s="46" t="s">
        <v>439</v>
      </c>
      <c r="V9" s="80"/>
      <c r="W9" s="46" t="s">
        <v>440</v>
      </c>
      <c r="AF9" s="81"/>
      <c r="AG9" s="46" t="s">
        <v>441</v>
      </c>
      <c r="AP9" s="60"/>
      <c r="AQ9" s="46" t="s">
        <v>442</v>
      </c>
      <c r="AZ9" s="82"/>
      <c r="BA9" s="46" t="s">
        <v>443</v>
      </c>
      <c r="BJ9" s="83"/>
      <c r="BK9" s="46" t="s">
        <v>444</v>
      </c>
      <c r="BT9" s="84"/>
      <c r="BU9" s="46" t="s">
        <v>445</v>
      </c>
    </row>
    <row r="10" spans="2:73" ht="12" x14ac:dyDescent="0.4">
      <c r="B10" s="85"/>
      <c r="C10" s="46" t="s">
        <v>446</v>
      </c>
      <c r="L10" s="86"/>
      <c r="M10" s="46" t="s">
        <v>447</v>
      </c>
      <c r="V10" s="67"/>
      <c r="W10" s="46" t="s">
        <v>448</v>
      </c>
      <c r="AF10" s="87"/>
      <c r="AG10" s="46" t="s">
        <v>449</v>
      </c>
      <c r="AP10" s="88"/>
      <c r="AQ10" s="46" t="s">
        <v>450</v>
      </c>
      <c r="AZ10" s="89"/>
      <c r="BA10" s="46" t="s">
        <v>451</v>
      </c>
      <c r="BJ10" s="69"/>
      <c r="BK10" s="46" t="s">
        <v>452</v>
      </c>
      <c r="BT10" s="90"/>
      <c r="BU10" s="46" t="s">
        <v>453</v>
      </c>
    </row>
    <row r="11" spans="2:73" ht="12" x14ac:dyDescent="0.4">
      <c r="B11" s="91"/>
      <c r="C11" s="46" t="s">
        <v>454</v>
      </c>
      <c r="L11" s="77"/>
      <c r="M11" s="46" t="s">
        <v>455</v>
      </c>
      <c r="V11" s="71"/>
      <c r="W11" s="46" t="s">
        <v>456</v>
      </c>
      <c r="AF11" s="92"/>
      <c r="AG11" s="46" t="s">
        <v>457</v>
      </c>
      <c r="AP11" s="48"/>
      <c r="AQ11" s="46" t="s">
        <v>458</v>
      </c>
      <c r="AZ11" s="93"/>
      <c r="BA11" s="46" t="s">
        <v>459</v>
      </c>
      <c r="BJ11" s="94"/>
      <c r="BK11" s="46" t="s">
        <v>460</v>
      </c>
      <c r="BT11" s="95"/>
      <c r="BU11" s="46" t="s">
        <v>461</v>
      </c>
    </row>
    <row r="12" spans="2:73" ht="12" x14ac:dyDescent="0.4">
      <c r="B12" s="52"/>
      <c r="C12" s="46" t="s">
        <v>462</v>
      </c>
      <c r="L12" s="96"/>
      <c r="M12" s="46" t="s">
        <v>463</v>
      </c>
      <c r="V12" s="97"/>
      <c r="W12" s="46" t="s">
        <v>464</v>
      </c>
      <c r="AF12" s="98"/>
      <c r="AG12" s="46" t="s">
        <v>465</v>
      </c>
      <c r="AP12" s="60"/>
      <c r="AQ12" s="46" t="s">
        <v>466</v>
      </c>
      <c r="AZ12" s="99"/>
      <c r="BA12" s="46" t="s">
        <v>467</v>
      </c>
      <c r="BJ12" s="100"/>
      <c r="BK12" s="46" t="s">
        <v>468</v>
      </c>
      <c r="BT12" s="101"/>
      <c r="BU12" s="46" t="s">
        <v>469</v>
      </c>
    </row>
    <row r="13" spans="2:73" ht="12" x14ac:dyDescent="0.4">
      <c r="B13" s="102"/>
      <c r="C13" s="46" t="s">
        <v>470</v>
      </c>
      <c r="L13" s="103"/>
      <c r="M13" s="46" t="s">
        <v>471</v>
      </c>
      <c r="V13" s="91"/>
      <c r="W13" s="46" t="s">
        <v>472</v>
      </c>
      <c r="AF13" s="104"/>
      <c r="AG13" s="46" t="s">
        <v>473</v>
      </c>
      <c r="AP13" s="69"/>
      <c r="AQ13" s="46" t="s">
        <v>474</v>
      </c>
      <c r="AZ13" s="105"/>
      <c r="BA13" s="46" t="s">
        <v>475</v>
      </c>
      <c r="BJ13" s="106"/>
      <c r="BK13" s="46" t="s">
        <v>476</v>
      </c>
      <c r="BT13" s="107"/>
      <c r="BU13" s="46" t="s">
        <v>477</v>
      </c>
    </row>
    <row r="14" spans="2:73" ht="12" x14ac:dyDescent="0.4">
      <c r="B14" s="47"/>
      <c r="C14" s="46" t="s">
        <v>478</v>
      </c>
      <c r="L14" s="108"/>
      <c r="M14" s="46" t="s">
        <v>479</v>
      </c>
      <c r="V14" s="109"/>
      <c r="W14" s="46" t="s">
        <v>480</v>
      </c>
      <c r="AF14" s="110"/>
      <c r="AG14" s="46" t="s">
        <v>481</v>
      </c>
      <c r="AP14" s="111"/>
      <c r="AQ14" s="46" t="s">
        <v>482</v>
      </c>
      <c r="AZ14" s="112"/>
      <c r="BA14" s="46" t="s">
        <v>483</v>
      </c>
      <c r="BJ14" s="113"/>
      <c r="BK14" s="46" t="s">
        <v>484</v>
      </c>
      <c r="BT14" s="72"/>
      <c r="BU14" s="46" t="s">
        <v>485</v>
      </c>
    </row>
    <row r="15" spans="2:73" ht="12" x14ac:dyDescent="0.4">
      <c r="B15" s="114"/>
      <c r="C15" s="46" t="s">
        <v>486</v>
      </c>
      <c r="L15" s="115"/>
      <c r="M15" s="46" t="s">
        <v>487</v>
      </c>
      <c r="V15" s="99"/>
      <c r="W15" s="46" t="s">
        <v>96</v>
      </c>
      <c r="AF15" s="99"/>
      <c r="AG15" s="46" t="s">
        <v>488</v>
      </c>
      <c r="AP15" s="79"/>
      <c r="AQ15" s="46" t="s">
        <v>320</v>
      </c>
      <c r="AZ15" s="79"/>
      <c r="BA15" s="46" t="s">
        <v>489</v>
      </c>
      <c r="BJ15" s="116"/>
      <c r="BK15" s="46" t="s">
        <v>323</v>
      </c>
      <c r="BT15" s="117"/>
      <c r="BU15" s="46" t="s">
        <v>490</v>
      </c>
    </row>
    <row r="16" spans="2:73" ht="12" x14ac:dyDescent="0.4">
      <c r="B16" s="62"/>
      <c r="C16" s="46" t="s">
        <v>491</v>
      </c>
      <c r="L16" s="96"/>
      <c r="M16" s="46" t="s">
        <v>492</v>
      </c>
      <c r="V16" s="103"/>
      <c r="W16" s="46" t="s">
        <v>493</v>
      </c>
      <c r="AF16" s="118"/>
      <c r="AG16" s="46" t="s">
        <v>494</v>
      </c>
      <c r="AP16" s="119"/>
      <c r="AQ16" s="46" t="s">
        <v>353</v>
      </c>
      <c r="AZ16" s="56"/>
      <c r="BA16" s="46" t="s">
        <v>495</v>
      </c>
      <c r="BJ16" s="120"/>
      <c r="BK16" s="46" t="s">
        <v>496</v>
      </c>
      <c r="BT16" s="60"/>
      <c r="BU16" s="46" t="s">
        <v>497</v>
      </c>
    </row>
    <row r="18" spans="2:73" ht="12" x14ac:dyDescent="0.4">
      <c r="B18" s="997" t="s">
        <v>628</v>
      </c>
      <c r="C18" s="46" t="s">
        <v>1105</v>
      </c>
    </row>
    <row r="21" spans="2:73" ht="15.75" x14ac:dyDescent="0.4">
      <c r="B21" s="122" t="s">
        <v>498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3" t="s">
        <v>499</v>
      </c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</row>
    <row r="22" spans="2:73" ht="12" x14ac:dyDescent="0.4">
      <c r="B22" s="124" t="s">
        <v>500</v>
      </c>
    </row>
    <row r="23" spans="2:73" ht="12" x14ac:dyDescent="0.4">
      <c r="C23" s="125">
        <v>0</v>
      </c>
      <c r="H23" s="125">
        <v>5</v>
      </c>
      <c r="M23" s="125">
        <v>10</v>
      </c>
      <c r="R23" s="125">
        <v>15</v>
      </c>
      <c r="W23" s="125">
        <v>20</v>
      </c>
      <c r="AB23" s="125">
        <v>25</v>
      </c>
      <c r="AG23" s="125">
        <v>30</v>
      </c>
      <c r="AL23" s="125">
        <v>35</v>
      </c>
      <c r="AQ23" s="125">
        <v>40</v>
      </c>
      <c r="AV23" s="125">
        <v>45</v>
      </c>
      <c r="BA23" s="125">
        <v>50</v>
      </c>
      <c r="BF23" s="125">
        <v>55</v>
      </c>
      <c r="BK23" s="125">
        <v>60</v>
      </c>
      <c r="BR23" s="272" t="s">
        <v>310</v>
      </c>
      <c r="BS23" s="272" t="s">
        <v>529</v>
      </c>
      <c r="BT23" s="272" t="s">
        <v>530</v>
      </c>
      <c r="BU23" s="272" t="s">
        <v>531</v>
      </c>
    </row>
    <row r="24" spans="2:73" ht="12" x14ac:dyDescent="0.4">
      <c r="B24" s="125">
        <v>0</v>
      </c>
      <c r="C24" s="161" t="s">
        <v>501</v>
      </c>
      <c r="D24" s="162"/>
      <c r="E24" s="162"/>
      <c r="F24" s="162"/>
      <c r="G24" s="163"/>
      <c r="H24" s="162"/>
      <c r="I24" s="162"/>
      <c r="J24" s="162"/>
      <c r="K24" s="162"/>
      <c r="L24" s="162"/>
      <c r="M24" s="162"/>
      <c r="N24" s="162"/>
      <c r="O24" s="163"/>
      <c r="P24" s="162"/>
      <c r="Q24" s="162"/>
      <c r="R24" s="162"/>
      <c r="S24" s="162"/>
      <c r="T24" s="162"/>
      <c r="U24" s="162"/>
      <c r="V24" s="162"/>
      <c r="W24" s="163"/>
      <c r="X24" s="162"/>
      <c r="Y24" s="162"/>
      <c r="Z24" s="162"/>
      <c r="AA24" s="162"/>
      <c r="AB24" s="162"/>
      <c r="AC24" s="162"/>
      <c r="AD24" s="162"/>
      <c r="AE24" s="209" t="s">
        <v>512</v>
      </c>
      <c r="AF24" s="162"/>
      <c r="AG24" s="162"/>
      <c r="AH24" s="162"/>
      <c r="AI24" s="162"/>
      <c r="AJ24" s="162"/>
      <c r="AK24" s="162"/>
      <c r="AL24" s="162"/>
      <c r="AM24" s="163"/>
      <c r="AN24" s="162"/>
      <c r="AO24" s="162"/>
      <c r="AP24" s="162"/>
      <c r="AQ24" s="162"/>
      <c r="AR24" s="162"/>
      <c r="AS24" s="162"/>
      <c r="AT24" s="162"/>
      <c r="AU24" s="163"/>
      <c r="AV24" s="162"/>
      <c r="AW24" s="162"/>
      <c r="AX24" s="162"/>
      <c r="AY24" s="162"/>
      <c r="AZ24" s="162"/>
      <c r="BA24" s="162"/>
      <c r="BB24" s="162"/>
      <c r="BC24" s="163"/>
      <c r="BD24" s="162"/>
      <c r="BE24" s="162"/>
      <c r="BF24" s="162"/>
      <c r="BG24" s="162"/>
      <c r="BH24" s="162"/>
      <c r="BI24" s="162"/>
      <c r="BJ24" s="162"/>
      <c r="BK24" s="163"/>
      <c r="BL24" s="162"/>
      <c r="BM24" s="162"/>
      <c r="BN24" s="210"/>
      <c r="BR24" s="1019" t="s">
        <v>505</v>
      </c>
      <c r="BS24" s="1019" t="s">
        <v>440</v>
      </c>
      <c r="BT24" s="1019" t="s">
        <v>532</v>
      </c>
      <c r="BU24" s="1019" t="s">
        <v>533</v>
      </c>
    </row>
    <row r="25" spans="2:73" ht="12" x14ac:dyDescent="0.4">
      <c r="C25" s="167" t="s">
        <v>504</v>
      </c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82"/>
      <c r="Q25" s="185" t="s">
        <v>506</v>
      </c>
      <c r="R25" s="184"/>
      <c r="S25" s="183"/>
      <c r="T25" s="173"/>
      <c r="U25" s="173"/>
      <c r="V25" s="198"/>
      <c r="W25" s="204" t="s">
        <v>509</v>
      </c>
      <c r="X25" s="205"/>
      <c r="Y25" s="167" t="s">
        <v>510</v>
      </c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73"/>
      <c r="AP25" s="173"/>
      <c r="AQ25" s="173"/>
      <c r="AR25" s="198"/>
      <c r="AS25" s="204" t="s">
        <v>509</v>
      </c>
      <c r="AT25" s="205"/>
      <c r="AU25" s="149" t="s">
        <v>513</v>
      </c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48"/>
      <c r="BR25" s="1019" t="s">
        <v>506</v>
      </c>
      <c r="BS25" s="1019" t="s">
        <v>442</v>
      </c>
      <c r="BT25" s="1019" t="s">
        <v>534</v>
      </c>
      <c r="BU25" s="1019" t="s">
        <v>535</v>
      </c>
    </row>
    <row r="26" spans="2:73" ht="12" x14ac:dyDescent="0.4">
      <c r="C26" s="135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94" t="s">
        <v>96</v>
      </c>
      <c r="O26" s="127"/>
      <c r="P26" s="127"/>
      <c r="Q26" s="127"/>
      <c r="R26" s="128"/>
      <c r="S26" s="180" t="s">
        <v>505</v>
      </c>
      <c r="T26" s="171"/>
      <c r="U26" s="171"/>
      <c r="V26" s="199"/>
      <c r="W26" s="196"/>
      <c r="X26" s="203"/>
      <c r="Y26" s="126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8"/>
      <c r="AO26" s="180" t="s">
        <v>440</v>
      </c>
      <c r="AP26" s="171"/>
      <c r="AQ26" s="171"/>
      <c r="AR26" s="199"/>
      <c r="AS26" s="196"/>
      <c r="AT26" s="203"/>
      <c r="AU26" s="998"/>
      <c r="AV26" s="230"/>
      <c r="AW26" s="185" t="s">
        <v>516</v>
      </c>
      <c r="AX26" s="184"/>
      <c r="AY26" s="231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6"/>
      <c r="BM26" s="219"/>
      <c r="BN26" s="227"/>
      <c r="BR26" s="1019" t="s">
        <v>506</v>
      </c>
      <c r="BS26" s="1019" t="s">
        <v>442</v>
      </c>
      <c r="BT26" s="1019" t="s">
        <v>534</v>
      </c>
      <c r="BU26" s="1019" t="s">
        <v>536</v>
      </c>
    </row>
    <row r="27" spans="2:73" ht="12" x14ac:dyDescent="0.4">
      <c r="C27" s="136"/>
      <c r="D27" s="193" t="s">
        <v>508</v>
      </c>
      <c r="E27" s="999" t="str">
        <f t="shared" ref="E27:O27" si="0">IF($AB$3="ON","→","")</f>
        <v>→</v>
      </c>
      <c r="F27" s="999" t="str">
        <f t="shared" si="0"/>
        <v>→</v>
      </c>
      <c r="G27" s="999" t="str">
        <f t="shared" si="0"/>
        <v>→</v>
      </c>
      <c r="H27" s="999" t="str">
        <f t="shared" si="0"/>
        <v>→</v>
      </c>
      <c r="I27" s="999" t="str">
        <f t="shared" si="0"/>
        <v>→</v>
      </c>
      <c r="J27" s="999" t="str">
        <f t="shared" si="0"/>
        <v>→</v>
      </c>
      <c r="K27" s="999" t="str">
        <f t="shared" si="0"/>
        <v>→</v>
      </c>
      <c r="L27" s="999" t="str">
        <f t="shared" si="0"/>
        <v>→</v>
      </c>
      <c r="M27" s="999" t="str">
        <f t="shared" si="0"/>
        <v>→</v>
      </c>
      <c r="N27" s="999" t="str">
        <f t="shared" si="0"/>
        <v>→</v>
      </c>
      <c r="O27" s="999" t="str">
        <f t="shared" si="0"/>
        <v>→</v>
      </c>
      <c r="P27" s="195" t="s">
        <v>96</v>
      </c>
      <c r="Q27" s="999" t="str">
        <f t="shared" ref="Q27:AF27" si="1">IF($AB$3="ON","→","")</f>
        <v>→</v>
      </c>
      <c r="R27" s="1000" t="str">
        <f t="shared" si="1"/>
        <v>→</v>
      </c>
      <c r="S27" s="1001" t="str">
        <f t="shared" si="1"/>
        <v>→</v>
      </c>
      <c r="T27" s="1002" t="str">
        <f t="shared" si="1"/>
        <v>→</v>
      </c>
      <c r="U27" s="1002" t="str">
        <f t="shared" si="1"/>
        <v>→</v>
      </c>
      <c r="V27" s="1003" t="str">
        <f t="shared" si="1"/>
        <v>→</v>
      </c>
      <c r="W27" s="1004" t="str">
        <f t="shared" si="1"/>
        <v>→</v>
      </c>
      <c r="X27" s="1005" t="str">
        <f t="shared" si="1"/>
        <v>→</v>
      </c>
      <c r="Y27" s="1006" t="str">
        <f t="shared" si="1"/>
        <v>→</v>
      </c>
      <c r="Z27" s="999" t="str">
        <f t="shared" si="1"/>
        <v>→</v>
      </c>
      <c r="AA27" s="999" t="str">
        <f t="shared" si="1"/>
        <v>→</v>
      </c>
      <c r="AB27" s="999" t="str">
        <f t="shared" si="1"/>
        <v>→</v>
      </c>
      <c r="AC27" s="999" t="str">
        <f t="shared" si="1"/>
        <v>→</v>
      </c>
      <c r="AD27" s="999" t="str">
        <f t="shared" si="1"/>
        <v>→</v>
      </c>
      <c r="AE27" s="999" t="str">
        <f t="shared" si="1"/>
        <v>→</v>
      </c>
      <c r="AF27" s="999" t="str">
        <f t="shared" si="1"/>
        <v>→</v>
      </c>
      <c r="AG27" s="195" t="s">
        <v>96</v>
      </c>
      <c r="AH27" s="999" t="str">
        <f>IF($AB$3="ON","→","")</f>
        <v>→</v>
      </c>
      <c r="AI27" s="999" t="str">
        <f>IF($AB$3="ON","→","")</f>
        <v>→</v>
      </c>
      <c r="AJ27" s="999" t="str">
        <f>IF($AB$3="ON","→","")</f>
        <v>→</v>
      </c>
      <c r="AK27" s="195" t="s">
        <v>96</v>
      </c>
      <c r="AL27" s="999" t="str">
        <f t="shared" ref="AL27:BC27" si="2">IF($AB$3="ON","→","")</f>
        <v>→</v>
      </c>
      <c r="AM27" s="999" t="str">
        <f t="shared" si="2"/>
        <v>→</v>
      </c>
      <c r="AN27" s="1000" t="str">
        <f t="shared" si="2"/>
        <v>→</v>
      </c>
      <c r="AO27" s="1001" t="str">
        <f t="shared" si="2"/>
        <v>→</v>
      </c>
      <c r="AP27" s="1002" t="str">
        <f t="shared" si="2"/>
        <v>→</v>
      </c>
      <c r="AQ27" s="1002" t="str">
        <f t="shared" si="2"/>
        <v>→</v>
      </c>
      <c r="AR27" s="1003" t="str">
        <f t="shared" si="2"/>
        <v>→</v>
      </c>
      <c r="AS27" s="1004" t="str">
        <f t="shared" si="2"/>
        <v>→</v>
      </c>
      <c r="AT27" s="1007" t="str">
        <f t="shared" si="2"/>
        <v>→</v>
      </c>
      <c r="AU27" s="1008" t="str">
        <f t="shared" si="2"/>
        <v>→</v>
      </c>
      <c r="AV27" s="1009" t="str">
        <f t="shared" si="2"/>
        <v>→</v>
      </c>
      <c r="AW27" s="1010" t="str">
        <f t="shared" si="2"/>
        <v>→</v>
      </c>
      <c r="AX27" s="1010" t="str">
        <f t="shared" si="2"/>
        <v>→</v>
      </c>
      <c r="AY27" s="1011" t="str">
        <f t="shared" si="2"/>
        <v>→</v>
      </c>
      <c r="AZ27" s="1011" t="str">
        <f t="shared" si="2"/>
        <v>→</v>
      </c>
      <c r="BA27" s="1011" t="str">
        <f t="shared" si="2"/>
        <v>→</v>
      </c>
      <c r="BB27" s="1011" t="str">
        <f t="shared" si="2"/>
        <v>→</v>
      </c>
      <c r="BC27" s="1011" t="str">
        <f t="shared" si="2"/>
        <v>→</v>
      </c>
      <c r="BD27" s="228" t="s">
        <v>515</v>
      </c>
      <c r="BE27" s="214"/>
      <c r="BF27" s="214"/>
      <c r="BG27" s="214"/>
      <c r="BH27" s="214"/>
      <c r="BI27" s="195" t="s">
        <v>96</v>
      </c>
      <c r="BJ27" s="214"/>
      <c r="BK27" s="214"/>
      <c r="BL27" s="214"/>
      <c r="BM27" s="226"/>
      <c r="BN27" s="224"/>
      <c r="BR27" s="1019" t="s">
        <v>444</v>
      </c>
      <c r="BS27" s="1019" t="s">
        <v>444</v>
      </c>
      <c r="BT27" s="1019" t="s">
        <v>534</v>
      </c>
      <c r="BU27" s="1019" t="s">
        <v>537</v>
      </c>
    </row>
    <row r="28" spans="2:73" ht="12" x14ac:dyDescent="0.4">
      <c r="C28" s="136"/>
      <c r="D28" s="130"/>
      <c r="E28" s="130"/>
      <c r="F28" s="130"/>
      <c r="G28" s="130"/>
      <c r="H28" s="130"/>
      <c r="I28" s="130"/>
      <c r="J28" s="133"/>
      <c r="K28" s="133"/>
      <c r="L28" s="133"/>
      <c r="M28" s="133"/>
      <c r="N28" s="130"/>
      <c r="O28" s="195" t="s">
        <v>96</v>
      </c>
      <c r="P28" s="130"/>
      <c r="Q28" s="130"/>
      <c r="R28" s="131"/>
      <c r="S28" s="175"/>
      <c r="T28" s="170"/>
      <c r="U28" s="170"/>
      <c r="V28" s="200"/>
      <c r="W28" s="196"/>
      <c r="X28" s="203"/>
      <c r="Y28" s="129"/>
      <c r="Z28" s="130"/>
      <c r="AA28" s="130"/>
      <c r="AB28" s="130"/>
      <c r="AC28" s="130"/>
      <c r="AD28" s="130"/>
      <c r="AE28" s="130"/>
      <c r="AF28" s="130"/>
      <c r="AG28" s="133"/>
      <c r="AH28" s="133"/>
      <c r="AI28" s="133"/>
      <c r="AJ28" s="130"/>
      <c r="AK28" s="130"/>
      <c r="AL28" s="130"/>
      <c r="AM28" s="130"/>
      <c r="AN28" s="131"/>
      <c r="AO28" s="175"/>
      <c r="AP28" s="170"/>
      <c r="AQ28" s="170"/>
      <c r="AR28" s="200"/>
      <c r="AS28" s="196"/>
      <c r="AT28" s="222"/>
      <c r="AU28" s="225"/>
      <c r="AV28" s="223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195" t="s">
        <v>96</v>
      </c>
      <c r="BK28" s="214"/>
      <c r="BL28" s="214"/>
      <c r="BM28" s="226"/>
      <c r="BN28" s="225"/>
      <c r="BR28" s="1019" t="s">
        <v>507</v>
      </c>
      <c r="BS28" s="1019" t="s">
        <v>445</v>
      </c>
      <c r="BT28" s="1019" t="s">
        <v>534</v>
      </c>
      <c r="BU28" s="1019" t="s">
        <v>538</v>
      </c>
    </row>
    <row r="29" spans="2:73" ht="12" x14ac:dyDescent="0.4">
      <c r="B29" s="125">
        <v>5</v>
      </c>
      <c r="C29" s="137"/>
      <c r="D29" s="133"/>
      <c r="E29" s="133"/>
      <c r="F29" s="133"/>
      <c r="G29" s="133"/>
      <c r="H29" s="133"/>
      <c r="I29" s="134"/>
      <c r="J29" s="189" t="s">
        <v>444</v>
      </c>
      <c r="K29" s="190"/>
      <c r="L29" s="192" t="s">
        <v>507</v>
      </c>
      <c r="M29" s="191"/>
      <c r="N29" s="132"/>
      <c r="O29" s="133"/>
      <c r="P29" s="133"/>
      <c r="Q29" s="133"/>
      <c r="R29" s="134"/>
      <c r="S29" s="176"/>
      <c r="T29" s="172"/>
      <c r="U29" s="172"/>
      <c r="V29" s="201"/>
      <c r="W29" s="196"/>
      <c r="X29" s="203"/>
      <c r="Y29" s="132"/>
      <c r="Z29" s="133"/>
      <c r="AA29" s="133"/>
      <c r="AB29" s="133"/>
      <c r="AC29" s="133"/>
      <c r="AD29" s="133"/>
      <c r="AE29" s="133"/>
      <c r="AF29" s="134"/>
      <c r="AG29" s="185" t="s">
        <v>511</v>
      </c>
      <c r="AH29" s="181"/>
      <c r="AI29" s="184"/>
      <c r="AJ29" s="132"/>
      <c r="AK29" s="133"/>
      <c r="AL29" s="133"/>
      <c r="AM29" s="133"/>
      <c r="AN29" s="134"/>
      <c r="AO29" s="176"/>
      <c r="AP29" s="172"/>
      <c r="AQ29" s="172"/>
      <c r="AR29" s="201"/>
      <c r="AS29" s="196"/>
      <c r="AT29" s="203"/>
      <c r="AU29" s="998"/>
      <c r="AV29" s="218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20"/>
      <c r="BN29" s="227"/>
      <c r="BR29" s="1019" t="s">
        <v>508</v>
      </c>
      <c r="BS29" s="1019" t="s">
        <v>486</v>
      </c>
      <c r="BT29" s="1019" t="s">
        <v>539</v>
      </c>
      <c r="BU29" s="1019" t="s">
        <v>540</v>
      </c>
    </row>
    <row r="30" spans="2:73" ht="12" x14ac:dyDescent="0.4">
      <c r="C30" s="164"/>
      <c r="D30" s="165"/>
      <c r="E30" s="165"/>
      <c r="F30" s="165"/>
      <c r="G30" s="165"/>
      <c r="H30" s="165"/>
      <c r="I30" s="165"/>
      <c r="J30" s="174"/>
      <c r="K30" s="174"/>
      <c r="L30" s="174"/>
      <c r="M30" s="174"/>
      <c r="N30" s="165"/>
      <c r="O30" s="165"/>
      <c r="P30" s="182"/>
      <c r="Q30" s="185" t="s">
        <v>506</v>
      </c>
      <c r="R30" s="184"/>
      <c r="S30" s="186"/>
      <c r="T30" s="174"/>
      <c r="U30" s="174"/>
      <c r="V30" s="202"/>
      <c r="W30" s="197"/>
      <c r="X30" s="206"/>
      <c r="Y30" s="164"/>
      <c r="Z30" s="165"/>
      <c r="AA30" s="165"/>
      <c r="AB30" s="165"/>
      <c r="AC30" s="165"/>
      <c r="AD30" s="165"/>
      <c r="AE30" s="165"/>
      <c r="AF30" s="165"/>
      <c r="AG30" s="174"/>
      <c r="AH30" s="174"/>
      <c r="AI30" s="174"/>
      <c r="AJ30" s="165"/>
      <c r="AK30" s="165"/>
      <c r="AL30" s="165"/>
      <c r="AM30" s="165"/>
      <c r="AN30" s="165"/>
      <c r="AO30" s="174"/>
      <c r="AP30" s="174"/>
      <c r="AQ30" s="174"/>
      <c r="AR30" s="202"/>
      <c r="AS30" s="197"/>
      <c r="AT30" s="206"/>
      <c r="AU30" s="149" t="s">
        <v>514</v>
      </c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48"/>
      <c r="BR30" s="1019" t="s">
        <v>96</v>
      </c>
      <c r="BS30" s="1019" t="s">
        <v>96</v>
      </c>
      <c r="BT30" s="1019" t="s">
        <v>539</v>
      </c>
      <c r="BU30" s="1019" t="s">
        <v>541</v>
      </c>
    </row>
    <row r="31" spans="2:73" ht="12" x14ac:dyDescent="0.4">
      <c r="C31" s="168" t="s">
        <v>502</v>
      </c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213"/>
      <c r="BR31" s="1019" t="s">
        <v>96</v>
      </c>
      <c r="BS31" s="1019" t="s">
        <v>96</v>
      </c>
      <c r="BT31" s="1019" t="s">
        <v>539</v>
      </c>
      <c r="BU31" s="1019" t="s">
        <v>542</v>
      </c>
    </row>
    <row r="32" spans="2:73" ht="12" x14ac:dyDescent="0.4">
      <c r="C32" s="151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232" t="s">
        <v>517</v>
      </c>
      <c r="BH32" s="152"/>
      <c r="BI32" s="152"/>
      <c r="BJ32" s="152"/>
      <c r="BK32" s="152"/>
      <c r="BL32" s="152"/>
      <c r="BM32" s="152"/>
      <c r="BN32" s="153"/>
      <c r="BR32" s="1019" t="s">
        <v>96</v>
      </c>
      <c r="BS32" s="1019" t="s">
        <v>96</v>
      </c>
      <c r="BT32" s="1019" t="s">
        <v>539</v>
      </c>
      <c r="BU32" s="1019" t="s">
        <v>543</v>
      </c>
    </row>
    <row r="33" spans="2:73" ht="12" x14ac:dyDescent="0.4">
      <c r="C33" s="142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4"/>
      <c r="BR33" s="1019" t="s">
        <v>440</v>
      </c>
      <c r="BS33" s="1019" t="s">
        <v>440</v>
      </c>
      <c r="BT33" s="1019" t="s">
        <v>532</v>
      </c>
      <c r="BU33" s="1019" t="s">
        <v>544</v>
      </c>
    </row>
    <row r="34" spans="2:73" ht="12" x14ac:dyDescent="0.4">
      <c r="B34" s="125">
        <v>10</v>
      </c>
      <c r="C34" s="155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7"/>
      <c r="BR34" s="1019" t="s">
        <v>511</v>
      </c>
      <c r="BS34" s="1019" t="s">
        <v>442</v>
      </c>
      <c r="BT34" s="1019" t="s">
        <v>545</v>
      </c>
      <c r="BU34" s="1019" t="s">
        <v>546</v>
      </c>
    </row>
    <row r="35" spans="2:73" ht="12" x14ac:dyDescent="0.4">
      <c r="C35" s="161" t="s">
        <v>503</v>
      </c>
      <c r="D35" s="162"/>
      <c r="E35" s="162"/>
      <c r="F35" s="162"/>
      <c r="G35" s="162"/>
      <c r="H35" s="162"/>
      <c r="I35" s="209" t="s">
        <v>521</v>
      </c>
      <c r="J35" s="162"/>
      <c r="K35" s="162"/>
      <c r="L35" s="162"/>
      <c r="M35" s="162"/>
      <c r="N35" s="162"/>
      <c r="O35" s="162"/>
      <c r="P35" s="162"/>
      <c r="Q35" s="241" t="s">
        <v>522</v>
      </c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62"/>
      <c r="BL35" s="162"/>
      <c r="BM35" s="162"/>
      <c r="BN35" s="210"/>
      <c r="BR35" s="1019" t="s">
        <v>512</v>
      </c>
      <c r="BS35" s="1019" t="s">
        <v>480</v>
      </c>
      <c r="BT35" s="1019" t="s">
        <v>539</v>
      </c>
      <c r="BU35" s="1019" t="s">
        <v>547</v>
      </c>
    </row>
    <row r="36" spans="2:73" ht="12" x14ac:dyDescent="0.4">
      <c r="C36" s="238" t="s">
        <v>519</v>
      </c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42"/>
      <c r="W36" s="204" t="s">
        <v>509</v>
      </c>
      <c r="X36" s="205"/>
      <c r="Y36" s="161" t="s">
        <v>523</v>
      </c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259"/>
      <c r="AS36" s="204" t="s">
        <v>509</v>
      </c>
      <c r="AT36" s="205"/>
      <c r="AU36" s="167" t="s">
        <v>525</v>
      </c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73"/>
      <c r="BJ36" s="173"/>
      <c r="BK36" s="173"/>
      <c r="BL36" s="165"/>
      <c r="BM36" s="165"/>
      <c r="BN36" s="166"/>
      <c r="BR36" s="1019" t="s">
        <v>96</v>
      </c>
      <c r="BS36" s="1019" t="s">
        <v>96</v>
      </c>
      <c r="BT36" s="1019" t="s">
        <v>539</v>
      </c>
      <c r="BU36" s="1019" t="s">
        <v>548</v>
      </c>
    </row>
    <row r="37" spans="2:73" ht="12" x14ac:dyDescent="0.4">
      <c r="C37" s="236" t="s">
        <v>518</v>
      </c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43"/>
      <c r="W37" s="196"/>
      <c r="X37" s="222"/>
      <c r="Y37" s="254"/>
      <c r="Z37" s="216"/>
      <c r="AA37" s="247"/>
      <c r="AB37" s="250" t="s">
        <v>524</v>
      </c>
      <c r="AC37" s="248"/>
      <c r="AD37" s="248"/>
      <c r="AE37" s="248"/>
      <c r="AF37" s="248"/>
      <c r="AG37" s="248"/>
      <c r="AH37" s="248"/>
      <c r="AI37" s="249"/>
      <c r="AJ37" s="231"/>
      <c r="AK37" s="216"/>
      <c r="AL37" s="216"/>
      <c r="AM37" s="216"/>
      <c r="AN37" s="216"/>
      <c r="AO37" s="216"/>
      <c r="AP37" s="216"/>
      <c r="AQ37" s="216"/>
      <c r="AR37" s="260"/>
      <c r="AS37" s="196"/>
      <c r="AT37" s="203"/>
      <c r="AU37" s="126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8"/>
      <c r="BI37" s="267" t="s">
        <v>526</v>
      </c>
      <c r="BJ37" s="229"/>
      <c r="BK37" s="265"/>
      <c r="BL37" s="126"/>
      <c r="BM37" s="127"/>
      <c r="BN37" s="269"/>
      <c r="BR37" s="1019" t="s">
        <v>96</v>
      </c>
      <c r="BS37" s="1019" t="s">
        <v>96</v>
      </c>
      <c r="BT37" s="1019" t="s">
        <v>539</v>
      </c>
      <c r="BU37" s="1019" t="s">
        <v>549</v>
      </c>
    </row>
    <row r="38" spans="2:73" ht="12" x14ac:dyDescent="0.4">
      <c r="C38" s="234"/>
      <c r="D38" s="233"/>
      <c r="E38" s="228" t="s">
        <v>520</v>
      </c>
      <c r="F38" s="233"/>
      <c r="G38" s="233"/>
      <c r="H38" s="233"/>
      <c r="I38" s="1012" t="str">
        <f>IF($AB$3="ON","→","")</f>
        <v>→</v>
      </c>
      <c r="J38" s="1012" t="str">
        <f>IF($AB$3="ON","→","")</f>
        <v>→</v>
      </c>
      <c r="K38" s="1012" t="str">
        <f>IF($AB$3="ON","→","")</f>
        <v>→</v>
      </c>
      <c r="L38" s="1012" t="str">
        <f>IF($AB$3="ON","→","")</f>
        <v>→</v>
      </c>
      <c r="M38" s="195" t="s">
        <v>96</v>
      </c>
      <c r="N38" s="1012" t="str">
        <f t="shared" ref="N38:AI38" si="3">IF($AB$3="ON","→","")</f>
        <v>→</v>
      </c>
      <c r="O38" s="1012" t="str">
        <f t="shared" si="3"/>
        <v>→</v>
      </c>
      <c r="P38" s="1012" t="str">
        <f t="shared" si="3"/>
        <v>→</v>
      </c>
      <c r="Q38" s="1012" t="str">
        <f t="shared" si="3"/>
        <v>→</v>
      </c>
      <c r="R38" s="1012" t="str">
        <f t="shared" si="3"/>
        <v>→</v>
      </c>
      <c r="S38" s="1012" t="str">
        <f t="shared" si="3"/>
        <v>→</v>
      </c>
      <c r="T38" s="1012" t="str">
        <f t="shared" si="3"/>
        <v>→</v>
      </c>
      <c r="U38" s="1012" t="str">
        <f t="shared" si="3"/>
        <v>→</v>
      </c>
      <c r="V38" s="1013" t="str">
        <f t="shared" si="3"/>
        <v>→</v>
      </c>
      <c r="W38" s="1004" t="str">
        <f t="shared" si="3"/>
        <v>→</v>
      </c>
      <c r="X38" s="1007" t="str">
        <f t="shared" si="3"/>
        <v>→</v>
      </c>
      <c r="Y38" s="1008" t="str">
        <f t="shared" si="3"/>
        <v>→</v>
      </c>
      <c r="Z38" s="1009" t="str">
        <f t="shared" si="3"/>
        <v>→</v>
      </c>
      <c r="AA38" s="1011" t="str">
        <f t="shared" si="3"/>
        <v>→</v>
      </c>
      <c r="AB38" s="1010" t="str">
        <f t="shared" si="3"/>
        <v>→</v>
      </c>
      <c r="AC38" s="1010" t="str">
        <f t="shared" si="3"/>
        <v>→</v>
      </c>
      <c r="AD38" s="1010" t="str">
        <f t="shared" si="3"/>
        <v>→</v>
      </c>
      <c r="AE38" s="1010" t="str">
        <f t="shared" si="3"/>
        <v>→</v>
      </c>
      <c r="AF38" s="1010" t="str">
        <f t="shared" si="3"/>
        <v>→</v>
      </c>
      <c r="AG38" s="1010" t="str">
        <f t="shared" si="3"/>
        <v>→</v>
      </c>
      <c r="AH38" s="1010" t="str">
        <f t="shared" si="3"/>
        <v>→</v>
      </c>
      <c r="AI38" s="1010" t="str">
        <f t="shared" si="3"/>
        <v>→</v>
      </c>
      <c r="AJ38" s="258" t="s">
        <v>320</v>
      </c>
      <c r="AK38" s="214"/>
      <c r="AL38" s="214"/>
      <c r="AM38" s="214"/>
      <c r="AN38" s="1011" t="str">
        <f t="shared" ref="AN38:AZ38" si="4">IF($AB$3="ON","→","")</f>
        <v>→</v>
      </c>
      <c r="AO38" s="1011" t="str">
        <f t="shared" si="4"/>
        <v>→</v>
      </c>
      <c r="AP38" s="1011" t="str">
        <f t="shared" si="4"/>
        <v>→</v>
      </c>
      <c r="AQ38" s="1014" t="str">
        <f t="shared" si="4"/>
        <v>→</v>
      </c>
      <c r="AR38" s="1015" t="str">
        <f t="shared" si="4"/>
        <v>→</v>
      </c>
      <c r="AS38" s="1004" t="str">
        <f t="shared" si="4"/>
        <v>→</v>
      </c>
      <c r="AT38" s="1005" t="str">
        <f t="shared" si="4"/>
        <v>→</v>
      </c>
      <c r="AU38" s="1006" t="str">
        <f t="shared" si="4"/>
        <v>→</v>
      </c>
      <c r="AV38" s="999" t="str">
        <f t="shared" si="4"/>
        <v>→</v>
      </c>
      <c r="AW38" s="999" t="str">
        <f t="shared" si="4"/>
        <v>→</v>
      </c>
      <c r="AX38" s="999" t="str">
        <f t="shared" si="4"/>
        <v>→</v>
      </c>
      <c r="AY38" s="999" t="str">
        <f t="shared" si="4"/>
        <v>→</v>
      </c>
      <c r="AZ38" s="999" t="str">
        <f t="shared" si="4"/>
        <v>→</v>
      </c>
      <c r="BA38" s="268" t="s">
        <v>527</v>
      </c>
      <c r="BB38" s="130"/>
      <c r="BC38" s="999" t="str">
        <f t="shared" ref="BC38:BM38" si="5">IF($AB$3="ON","→","")</f>
        <v>→</v>
      </c>
      <c r="BD38" s="999" t="str">
        <f t="shared" si="5"/>
        <v>→</v>
      </c>
      <c r="BE38" s="999" t="str">
        <f t="shared" si="5"/>
        <v>→</v>
      </c>
      <c r="BF38" s="999" t="str">
        <f t="shared" si="5"/>
        <v>→</v>
      </c>
      <c r="BG38" s="999" t="str">
        <f t="shared" si="5"/>
        <v>→</v>
      </c>
      <c r="BH38" s="1000" t="str">
        <f t="shared" si="5"/>
        <v>→</v>
      </c>
      <c r="BI38" s="1016" t="str">
        <f t="shared" si="5"/>
        <v>→</v>
      </c>
      <c r="BJ38" s="1017" t="str">
        <f t="shared" si="5"/>
        <v>→</v>
      </c>
      <c r="BK38" s="1018" t="str">
        <f t="shared" si="5"/>
        <v>→</v>
      </c>
      <c r="BL38" s="1006" t="str">
        <f t="shared" si="5"/>
        <v>→</v>
      </c>
      <c r="BM38" s="1000" t="str">
        <f t="shared" si="5"/>
        <v>→</v>
      </c>
      <c r="BN38" s="271" t="s">
        <v>528</v>
      </c>
      <c r="BR38" s="1019" t="s">
        <v>515</v>
      </c>
      <c r="BS38" s="1019" t="s">
        <v>434</v>
      </c>
      <c r="BT38" s="1019" t="s">
        <v>539</v>
      </c>
      <c r="BU38" s="1019" t="s">
        <v>550</v>
      </c>
    </row>
    <row r="39" spans="2:73" ht="12" x14ac:dyDescent="0.4">
      <c r="B39" s="125">
        <v>15</v>
      </c>
      <c r="C39" s="234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195" t="s">
        <v>96</v>
      </c>
      <c r="P39" s="233"/>
      <c r="Q39" s="233"/>
      <c r="R39" s="233"/>
      <c r="S39" s="233"/>
      <c r="T39" s="233"/>
      <c r="U39" s="233"/>
      <c r="V39" s="244"/>
      <c r="W39" s="196"/>
      <c r="X39" s="222"/>
      <c r="Y39" s="225"/>
      <c r="Z39" s="223"/>
      <c r="AA39" s="214"/>
      <c r="AB39" s="215"/>
      <c r="AC39" s="215"/>
      <c r="AD39" s="215"/>
      <c r="AE39" s="215"/>
      <c r="AF39" s="215"/>
      <c r="AG39" s="215"/>
      <c r="AH39" s="215"/>
      <c r="AI39" s="215"/>
      <c r="AJ39" s="214"/>
      <c r="AK39" s="214"/>
      <c r="AL39" s="214"/>
      <c r="AM39" s="214"/>
      <c r="AN39" s="214"/>
      <c r="AO39" s="214"/>
      <c r="AP39" s="214"/>
      <c r="AQ39" s="226"/>
      <c r="AR39" s="261"/>
      <c r="AS39" s="196"/>
      <c r="AT39" s="203"/>
      <c r="AU39" s="129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1"/>
      <c r="BI39" s="267" t="s">
        <v>526</v>
      </c>
      <c r="BJ39" s="229"/>
      <c r="BK39" s="265"/>
      <c r="BL39" s="129"/>
      <c r="BM39" s="131"/>
      <c r="BN39" s="270"/>
      <c r="BR39" s="1019" t="s">
        <v>516</v>
      </c>
      <c r="BS39" s="1019" t="s">
        <v>442</v>
      </c>
      <c r="BT39" s="1019" t="s">
        <v>534</v>
      </c>
      <c r="BU39" s="1019" t="s">
        <v>551</v>
      </c>
    </row>
    <row r="40" spans="2:73" ht="12" x14ac:dyDescent="0.4">
      <c r="C40" s="239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5"/>
      <c r="W40" s="196"/>
      <c r="X40" s="222"/>
      <c r="Y40" s="255"/>
      <c r="Z40" s="217"/>
      <c r="AA40" s="251"/>
      <c r="AB40" s="250" t="s">
        <v>457</v>
      </c>
      <c r="AC40" s="248"/>
      <c r="AD40" s="248"/>
      <c r="AE40" s="248"/>
      <c r="AF40" s="248"/>
      <c r="AG40" s="248"/>
      <c r="AH40" s="248"/>
      <c r="AI40" s="249"/>
      <c r="AJ40" s="252"/>
      <c r="AK40" s="217"/>
      <c r="AL40" s="217"/>
      <c r="AM40" s="217"/>
      <c r="AN40" s="217"/>
      <c r="AO40" s="217"/>
      <c r="AP40" s="217"/>
      <c r="AQ40" s="217"/>
      <c r="AR40" s="262"/>
      <c r="AS40" s="196"/>
      <c r="AT40" s="203"/>
      <c r="AU40" s="132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4"/>
      <c r="BI40" s="208"/>
      <c r="BJ40" s="207"/>
      <c r="BK40" s="266"/>
      <c r="BL40" s="132"/>
      <c r="BM40" s="133"/>
      <c r="BN40" s="269"/>
      <c r="BR40" s="1019" t="s">
        <v>96</v>
      </c>
      <c r="BS40" s="1019" t="s">
        <v>96</v>
      </c>
      <c r="BT40" s="1019" t="s">
        <v>539</v>
      </c>
      <c r="BU40" s="1019" t="s">
        <v>552</v>
      </c>
    </row>
    <row r="41" spans="2:73" ht="12" x14ac:dyDescent="0.4">
      <c r="C41" s="238" t="s">
        <v>519</v>
      </c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42"/>
      <c r="W41" s="197"/>
      <c r="X41" s="206"/>
      <c r="Y41" s="246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263"/>
      <c r="AS41" s="197"/>
      <c r="AT41" s="206"/>
      <c r="AU41" s="164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74"/>
      <c r="BJ41" s="174"/>
      <c r="BK41" s="174"/>
      <c r="BL41" s="165"/>
      <c r="BM41" s="165"/>
      <c r="BN41" s="166"/>
      <c r="BR41" s="1019" t="s">
        <v>96</v>
      </c>
      <c r="BS41" s="1019" t="s">
        <v>96</v>
      </c>
      <c r="BT41" s="1019" t="s">
        <v>539</v>
      </c>
      <c r="BU41" s="1019" t="s">
        <v>553</v>
      </c>
    </row>
    <row r="42" spans="2:73" ht="12" x14ac:dyDescent="0.4">
      <c r="C42" s="168" t="s">
        <v>502</v>
      </c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  <c r="BN42" s="213"/>
      <c r="BR42" s="1019" t="s">
        <v>518</v>
      </c>
      <c r="BS42" s="1019" t="s">
        <v>417</v>
      </c>
      <c r="BT42" s="1019" t="s">
        <v>554</v>
      </c>
      <c r="BU42" s="1019" t="s">
        <v>555</v>
      </c>
    </row>
    <row r="43" spans="2:73" ht="12.75" thickBot="1" x14ac:dyDescent="0.45">
      <c r="C43" s="158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60"/>
      <c r="BR43" s="1019" t="s">
        <v>520</v>
      </c>
      <c r="BS43" s="1019" t="s">
        <v>434</v>
      </c>
      <c r="BT43" s="1019" t="s">
        <v>539</v>
      </c>
      <c r="BU43" s="1019" t="s">
        <v>556</v>
      </c>
    </row>
    <row r="44" spans="2:73" ht="12" x14ac:dyDescent="0.4">
      <c r="BR44" s="1019" t="s">
        <v>521</v>
      </c>
      <c r="BS44" s="1019" t="s">
        <v>480</v>
      </c>
      <c r="BT44" s="1019" t="s">
        <v>539</v>
      </c>
      <c r="BU44" s="1019" t="s">
        <v>557</v>
      </c>
    </row>
    <row r="45" spans="2:73" ht="12" x14ac:dyDescent="0.4">
      <c r="BR45" s="1019" t="s">
        <v>522</v>
      </c>
      <c r="BS45" s="1019" t="s">
        <v>481</v>
      </c>
      <c r="BT45" s="1019" t="s">
        <v>539</v>
      </c>
      <c r="BU45" s="1019" t="s">
        <v>558</v>
      </c>
    </row>
    <row r="46" spans="2:73" ht="12" x14ac:dyDescent="0.4">
      <c r="BR46" s="1019" t="s">
        <v>96</v>
      </c>
      <c r="BS46" s="1019" t="s">
        <v>96</v>
      </c>
      <c r="BT46" s="1019" t="s">
        <v>539</v>
      </c>
      <c r="BU46" s="1019" t="s">
        <v>559</v>
      </c>
    </row>
    <row r="47" spans="2:73" ht="12" x14ac:dyDescent="0.4">
      <c r="BR47" s="1019" t="s">
        <v>96</v>
      </c>
      <c r="BS47" s="1019" t="s">
        <v>96</v>
      </c>
      <c r="BT47" s="1019" t="s">
        <v>539</v>
      </c>
      <c r="BU47" s="1019" t="s">
        <v>560</v>
      </c>
    </row>
    <row r="48" spans="2:73" ht="12" x14ac:dyDescent="0.4">
      <c r="BR48" s="1019" t="s">
        <v>524</v>
      </c>
      <c r="BS48" s="1019" t="s">
        <v>457</v>
      </c>
      <c r="BT48" s="1019" t="s">
        <v>561</v>
      </c>
      <c r="BU48" s="1019" t="s">
        <v>562</v>
      </c>
    </row>
    <row r="49" spans="2:73" ht="12" x14ac:dyDescent="0.4">
      <c r="BR49" s="1019" t="s">
        <v>457</v>
      </c>
      <c r="BS49" s="1019" t="s">
        <v>457</v>
      </c>
      <c r="BT49" s="1019" t="s">
        <v>561</v>
      </c>
      <c r="BU49" s="1019" t="s">
        <v>563</v>
      </c>
    </row>
    <row r="50" spans="2:73" ht="12" x14ac:dyDescent="0.4">
      <c r="BR50" s="1019" t="s">
        <v>320</v>
      </c>
      <c r="BS50" s="1019" t="s">
        <v>320</v>
      </c>
      <c r="BT50" s="1019" t="s">
        <v>539</v>
      </c>
      <c r="BU50" s="1019" t="s">
        <v>564</v>
      </c>
    </row>
    <row r="51" spans="2:73" ht="12" x14ac:dyDescent="0.4">
      <c r="BR51" s="1019" t="s">
        <v>526</v>
      </c>
      <c r="BS51" s="1019" t="s">
        <v>442</v>
      </c>
      <c r="BT51" s="1019" t="s">
        <v>565</v>
      </c>
      <c r="BU51" s="1019" t="s">
        <v>566</v>
      </c>
    </row>
    <row r="52" spans="2:73" ht="12" x14ac:dyDescent="0.4">
      <c r="BR52" s="1019" t="s">
        <v>526</v>
      </c>
      <c r="BS52" s="1019" t="s">
        <v>442</v>
      </c>
      <c r="BT52" s="1019" t="s">
        <v>565</v>
      </c>
      <c r="BU52" s="1019" t="s">
        <v>567</v>
      </c>
    </row>
    <row r="53" spans="2:73" ht="12" x14ac:dyDescent="0.4">
      <c r="BR53" s="1019" t="s">
        <v>527</v>
      </c>
      <c r="BS53" s="1019" t="s">
        <v>495</v>
      </c>
      <c r="BT53" s="1019" t="s">
        <v>539</v>
      </c>
      <c r="BU53" s="1019" t="s">
        <v>568</v>
      </c>
    </row>
    <row r="54" spans="2:73" ht="12" x14ac:dyDescent="0.4">
      <c r="BR54" s="1019" t="s">
        <v>528</v>
      </c>
      <c r="BS54" s="1019" t="s">
        <v>487</v>
      </c>
      <c r="BT54" s="1019" t="s">
        <v>569</v>
      </c>
      <c r="BU54" s="1019" t="s">
        <v>570</v>
      </c>
    </row>
    <row r="58" spans="2:73" ht="15.75" x14ac:dyDescent="0.4">
      <c r="B58" s="122" t="s">
        <v>571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3" t="s">
        <v>572</v>
      </c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</row>
    <row r="59" spans="2:73" ht="12" x14ac:dyDescent="0.4">
      <c r="B59" s="124" t="s">
        <v>573</v>
      </c>
    </row>
    <row r="60" spans="2:73" ht="12" x14ac:dyDescent="0.4">
      <c r="C60" s="125">
        <v>0</v>
      </c>
      <c r="H60" s="125">
        <v>5</v>
      </c>
      <c r="M60" s="125">
        <v>10</v>
      </c>
      <c r="R60" s="125">
        <v>15</v>
      </c>
      <c r="W60" s="125">
        <v>20</v>
      </c>
      <c r="AB60" s="125">
        <v>25</v>
      </c>
      <c r="AG60" s="125">
        <v>30</v>
      </c>
      <c r="AL60" s="125">
        <v>35</v>
      </c>
      <c r="BR60" s="272" t="s">
        <v>310</v>
      </c>
      <c r="BS60" s="272" t="s">
        <v>529</v>
      </c>
      <c r="BT60" s="272" t="s">
        <v>530</v>
      </c>
      <c r="BU60" s="272" t="s">
        <v>531</v>
      </c>
    </row>
    <row r="61" spans="2:73" ht="12" x14ac:dyDescent="0.4">
      <c r="B61" s="125">
        <v>0</v>
      </c>
      <c r="C61" s="299" t="s">
        <v>574</v>
      </c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7"/>
      <c r="BR61" s="1019" t="s">
        <v>575</v>
      </c>
      <c r="BS61" s="1019" t="s">
        <v>428</v>
      </c>
      <c r="BT61" s="1019" t="s">
        <v>582</v>
      </c>
      <c r="BU61" s="1019" t="s">
        <v>583</v>
      </c>
    </row>
    <row r="62" spans="2:73" ht="12" x14ac:dyDescent="0.4">
      <c r="C62" s="303"/>
      <c r="D62" s="302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302"/>
      <c r="AF62" s="302"/>
      <c r="AG62" s="302"/>
      <c r="AH62" s="302"/>
      <c r="AI62" s="302"/>
      <c r="AJ62" s="302"/>
      <c r="AK62" s="302"/>
      <c r="AL62" s="306"/>
      <c r="BR62" s="1019" t="s">
        <v>575</v>
      </c>
      <c r="BS62" s="1019" t="s">
        <v>428</v>
      </c>
      <c r="BT62" s="1019" t="s">
        <v>584</v>
      </c>
      <c r="BU62" s="1019" t="s">
        <v>585</v>
      </c>
    </row>
    <row r="63" spans="2:73" ht="12" x14ac:dyDescent="0.4">
      <c r="C63" s="293"/>
      <c r="D63" s="297"/>
      <c r="E63" s="273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5"/>
      <c r="AE63" s="299" t="s">
        <v>424</v>
      </c>
      <c r="AF63" s="294"/>
      <c r="AG63" s="294"/>
      <c r="AH63" s="294"/>
      <c r="AI63" s="294"/>
      <c r="AJ63" s="294"/>
      <c r="AK63" s="294"/>
      <c r="AL63" s="297"/>
      <c r="BR63" s="1019" t="s">
        <v>576</v>
      </c>
      <c r="BS63" s="1019" t="s">
        <v>468</v>
      </c>
      <c r="BT63" s="1019" t="s">
        <v>586</v>
      </c>
      <c r="BU63" s="1019" t="s">
        <v>587</v>
      </c>
    </row>
    <row r="64" spans="2:73" ht="12" x14ac:dyDescent="0.4">
      <c r="C64" s="292"/>
      <c r="D64" s="305"/>
      <c r="E64" s="276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8"/>
      <c r="AE64" s="292"/>
      <c r="AF64" s="290"/>
      <c r="AG64" s="290"/>
      <c r="AH64" s="290"/>
      <c r="AI64" s="290"/>
      <c r="AJ64" s="290"/>
      <c r="AK64" s="290"/>
      <c r="AL64" s="305"/>
      <c r="BR64" s="1019" t="s">
        <v>577</v>
      </c>
      <c r="BS64" s="1019" t="s">
        <v>446</v>
      </c>
      <c r="BT64" s="1019" t="s">
        <v>588</v>
      </c>
      <c r="BU64" s="1019" t="s">
        <v>589</v>
      </c>
    </row>
    <row r="65" spans="2:73" ht="12" x14ac:dyDescent="0.4">
      <c r="C65" s="292"/>
      <c r="D65" s="305"/>
      <c r="E65" s="276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80"/>
      <c r="T65" s="280"/>
      <c r="U65" s="280"/>
      <c r="V65" s="280"/>
      <c r="W65" s="277"/>
      <c r="X65" s="277"/>
      <c r="Y65" s="277"/>
      <c r="Z65" s="277"/>
      <c r="AA65" s="277"/>
      <c r="AB65" s="277"/>
      <c r="AC65" s="277"/>
      <c r="AD65" s="278"/>
      <c r="AE65" s="292"/>
      <c r="AF65" s="290"/>
      <c r="AG65" s="290"/>
      <c r="AH65" s="290"/>
      <c r="AI65" s="290"/>
      <c r="AJ65" s="290"/>
      <c r="AK65" s="290"/>
      <c r="AL65" s="305"/>
      <c r="BR65" s="1019" t="s">
        <v>578</v>
      </c>
      <c r="BS65" s="1019" t="s">
        <v>434</v>
      </c>
      <c r="BT65" s="1019" t="s">
        <v>539</v>
      </c>
      <c r="BU65" s="1019" t="s">
        <v>590</v>
      </c>
    </row>
    <row r="66" spans="2:73" ht="12" x14ac:dyDescent="0.4">
      <c r="B66" s="125">
        <v>5</v>
      </c>
      <c r="C66" s="292"/>
      <c r="D66" s="305"/>
      <c r="E66" s="276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8"/>
      <c r="S66" s="316" t="s">
        <v>575</v>
      </c>
      <c r="T66" s="310"/>
      <c r="U66" s="310"/>
      <c r="V66" s="313"/>
      <c r="W66" s="276"/>
      <c r="X66" s="277"/>
      <c r="Y66" s="277"/>
      <c r="Z66" s="277"/>
      <c r="AA66" s="277"/>
      <c r="AB66" s="277"/>
      <c r="AC66" s="277"/>
      <c r="AD66" s="278"/>
      <c r="AE66" s="292"/>
      <c r="AF66" s="290"/>
      <c r="AG66" s="290"/>
      <c r="AH66" s="290"/>
      <c r="AI66" s="290"/>
      <c r="AJ66" s="290"/>
      <c r="AK66" s="290"/>
      <c r="AL66" s="305"/>
      <c r="BR66" s="1019" t="s">
        <v>579</v>
      </c>
      <c r="BS66" s="1019" t="s">
        <v>451</v>
      </c>
      <c r="BT66" s="1019" t="s">
        <v>539</v>
      </c>
      <c r="BU66" s="1019" t="s">
        <v>591</v>
      </c>
    </row>
    <row r="67" spans="2:73" ht="12" x14ac:dyDescent="0.4">
      <c r="C67" s="292"/>
      <c r="D67" s="305"/>
      <c r="E67" s="276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8"/>
      <c r="S67" s="311"/>
      <c r="T67" s="312"/>
      <c r="U67" s="312"/>
      <c r="V67" s="315"/>
      <c r="W67" s="276"/>
      <c r="X67" s="277"/>
      <c r="Y67" s="277"/>
      <c r="Z67" s="277"/>
      <c r="AA67" s="277"/>
      <c r="AB67" s="277"/>
      <c r="AC67" s="277"/>
      <c r="AD67" s="278"/>
      <c r="AE67" s="292"/>
      <c r="AF67" s="290"/>
      <c r="AG67" s="290"/>
      <c r="AH67" s="290"/>
      <c r="AI67" s="290"/>
      <c r="AJ67" s="290"/>
      <c r="AK67" s="290"/>
      <c r="AL67" s="305"/>
      <c r="BR67" s="1019" t="s">
        <v>508</v>
      </c>
      <c r="BS67" s="1019" t="s">
        <v>486</v>
      </c>
      <c r="BT67" s="1019" t="s">
        <v>539</v>
      </c>
      <c r="BU67" s="1019" t="s">
        <v>592</v>
      </c>
    </row>
    <row r="68" spans="2:73" ht="12" x14ac:dyDescent="0.4">
      <c r="C68" s="292"/>
      <c r="D68" s="305"/>
      <c r="E68" s="276"/>
      <c r="F68" s="277"/>
      <c r="G68" s="277"/>
      <c r="H68" s="277"/>
      <c r="I68" s="277"/>
      <c r="J68" s="277"/>
      <c r="K68" s="277"/>
      <c r="L68" s="277"/>
      <c r="M68" s="280"/>
      <c r="N68" s="280"/>
      <c r="O68" s="277"/>
      <c r="P68" s="277"/>
      <c r="Q68" s="277"/>
      <c r="R68" s="277"/>
      <c r="S68" s="274"/>
      <c r="T68" s="274"/>
      <c r="U68" s="274"/>
      <c r="V68" s="274"/>
      <c r="W68" s="277"/>
      <c r="X68" s="277"/>
      <c r="Y68" s="277"/>
      <c r="Z68" s="277"/>
      <c r="AA68" s="277"/>
      <c r="AB68" s="277"/>
      <c r="AC68" s="277"/>
      <c r="AD68" s="278"/>
      <c r="AE68" s="295"/>
      <c r="AF68" s="296"/>
      <c r="AG68" s="296"/>
      <c r="AH68" s="296"/>
      <c r="AI68" s="296"/>
      <c r="AJ68" s="296"/>
      <c r="AK68" s="296"/>
      <c r="AL68" s="298"/>
      <c r="BR68" s="1019" t="s">
        <v>581</v>
      </c>
      <c r="BS68" s="1019" t="s">
        <v>436</v>
      </c>
      <c r="BT68" s="1019" t="s">
        <v>593</v>
      </c>
      <c r="BU68" s="1019" t="s">
        <v>594</v>
      </c>
    </row>
    <row r="69" spans="2:73" x14ac:dyDescent="0.4">
      <c r="C69" s="292"/>
      <c r="D69" s="305"/>
      <c r="E69" s="276"/>
      <c r="F69" s="277"/>
      <c r="G69" s="277"/>
      <c r="H69" s="277"/>
      <c r="I69" s="277"/>
      <c r="J69" s="277"/>
      <c r="K69" s="277"/>
      <c r="L69" s="278"/>
      <c r="M69" s="324" t="s">
        <v>576</v>
      </c>
      <c r="N69" s="322"/>
      <c r="O69" s="276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4"/>
      <c r="AF69" s="274"/>
      <c r="AG69" s="274"/>
      <c r="AH69" s="274"/>
      <c r="AI69" s="274"/>
      <c r="AJ69" s="274"/>
      <c r="AK69" s="337"/>
      <c r="AL69" s="338"/>
    </row>
    <row r="70" spans="2:73" x14ac:dyDescent="0.4">
      <c r="C70" s="292"/>
      <c r="D70" s="305"/>
      <c r="E70" s="276"/>
      <c r="F70" s="277"/>
      <c r="G70" s="277"/>
      <c r="H70" s="277"/>
      <c r="I70" s="277"/>
      <c r="J70" s="277"/>
      <c r="K70" s="277"/>
      <c r="L70" s="278"/>
      <c r="M70" s="320"/>
      <c r="N70" s="323"/>
      <c r="O70" s="276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  <c r="AG70" s="277"/>
      <c r="AH70" s="277"/>
      <c r="AI70" s="277"/>
      <c r="AJ70" s="278"/>
      <c r="AK70" s="341" t="s">
        <v>581</v>
      </c>
      <c r="AL70" s="339"/>
    </row>
    <row r="71" spans="2:73" ht="12" x14ac:dyDescent="0.4">
      <c r="B71" s="125">
        <v>10</v>
      </c>
      <c r="C71" s="292"/>
      <c r="D71" s="305"/>
      <c r="E71" s="276"/>
      <c r="F71" s="193" t="s">
        <v>508</v>
      </c>
      <c r="G71" s="1020" t="str">
        <f t="shared" ref="G71:AJ71" si="6">IF($AB$3="ON","→","")</f>
        <v>→</v>
      </c>
      <c r="H71" s="1020" t="str">
        <f t="shared" si="6"/>
        <v>→</v>
      </c>
      <c r="I71" s="1020" t="str">
        <f t="shared" si="6"/>
        <v>→</v>
      </c>
      <c r="J71" s="1020" t="str">
        <f t="shared" si="6"/>
        <v>→</v>
      </c>
      <c r="K71" s="1020" t="str">
        <f t="shared" si="6"/>
        <v>→</v>
      </c>
      <c r="L71" s="1020" t="str">
        <f t="shared" si="6"/>
        <v>→</v>
      </c>
      <c r="M71" s="1021" t="str">
        <f t="shared" si="6"/>
        <v>→</v>
      </c>
      <c r="N71" s="1021" t="str">
        <f t="shared" si="6"/>
        <v>→</v>
      </c>
      <c r="O71" s="1020" t="str">
        <f t="shared" si="6"/>
        <v>→</v>
      </c>
      <c r="P71" s="1020" t="str">
        <f t="shared" si="6"/>
        <v>→</v>
      </c>
      <c r="Q71" s="1020" t="str">
        <f t="shared" si="6"/>
        <v>→</v>
      </c>
      <c r="R71" s="1020" t="str">
        <f t="shared" si="6"/>
        <v>→</v>
      </c>
      <c r="S71" s="1020" t="str">
        <f t="shared" si="6"/>
        <v>→</v>
      </c>
      <c r="T71" s="1020" t="str">
        <f t="shared" si="6"/>
        <v>→</v>
      </c>
      <c r="U71" s="1020" t="str">
        <f t="shared" si="6"/>
        <v>→</v>
      </c>
      <c r="V71" s="1020" t="str">
        <f t="shared" si="6"/>
        <v>→</v>
      </c>
      <c r="W71" s="1020" t="str">
        <f t="shared" si="6"/>
        <v>→</v>
      </c>
      <c r="X71" s="1020" t="str">
        <f t="shared" si="6"/>
        <v>→</v>
      </c>
      <c r="Y71" s="1020" t="str">
        <f t="shared" si="6"/>
        <v>→</v>
      </c>
      <c r="Z71" s="1020" t="str">
        <f t="shared" si="6"/>
        <v>→</v>
      </c>
      <c r="AA71" s="1020" t="str">
        <f t="shared" si="6"/>
        <v>→</v>
      </c>
      <c r="AB71" s="1020" t="str">
        <f t="shared" si="6"/>
        <v>→</v>
      </c>
      <c r="AC71" s="1020" t="str">
        <f t="shared" si="6"/>
        <v>→</v>
      </c>
      <c r="AD71" s="1020" t="str">
        <f t="shared" si="6"/>
        <v>→</v>
      </c>
      <c r="AE71" s="1020" t="str">
        <f t="shared" si="6"/>
        <v>→</v>
      </c>
      <c r="AF71" s="1020" t="str">
        <f t="shared" si="6"/>
        <v>→</v>
      </c>
      <c r="AG71" s="1020" t="str">
        <f t="shared" si="6"/>
        <v>→</v>
      </c>
      <c r="AH71" s="1020" t="str">
        <f t="shared" si="6"/>
        <v>→</v>
      </c>
      <c r="AI71" s="1020" t="str">
        <f t="shared" si="6"/>
        <v>→</v>
      </c>
      <c r="AJ71" s="1022" t="str">
        <f t="shared" si="6"/>
        <v>→</v>
      </c>
      <c r="AK71" s="253"/>
      <c r="AL71" s="257"/>
    </row>
    <row r="72" spans="2:73" x14ac:dyDescent="0.4">
      <c r="C72" s="292"/>
      <c r="D72" s="305"/>
      <c r="E72" s="276"/>
      <c r="F72" s="277"/>
      <c r="G72" s="277"/>
      <c r="H72" s="277"/>
      <c r="I72" s="280"/>
      <c r="J72" s="280"/>
      <c r="K72" s="280"/>
      <c r="L72" s="280"/>
      <c r="M72" s="280"/>
      <c r="N72" s="280"/>
      <c r="O72" s="277"/>
      <c r="P72" s="277"/>
      <c r="Q72" s="277"/>
      <c r="R72" s="277"/>
      <c r="S72" s="277"/>
      <c r="T72" s="277"/>
      <c r="U72" s="277"/>
      <c r="V72" s="277"/>
      <c r="W72" s="280"/>
      <c r="X72" s="280"/>
      <c r="Y72" s="334" t="s">
        <v>578</v>
      </c>
      <c r="Z72" s="280"/>
      <c r="AA72" s="280"/>
      <c r="AB72" s="280"/>
      <c r="AC72" s="277"/>
      <c r="AD72" s="277"/>
      <c r="AE72" s="277"/>
      <c r="AF72" s="277"/>
      <c r="AG72" s="277"/>
      <c r="AH72" s="277"/>
      <c r="AI72" s="277"/>
      <c r="AJ72" s="278"/>
      <c r="AK72" s="253"/>
      <c r="AL72" s="257"/>
    </row>
    <row r="73" spans="2:73" x14ac:dyDescent="0.4">
      <c r="C73" s="292"/>
      <c r="D73" s="305"/>
      <c r="E73" s="276"/>
      <c r="F73" s="277"/>
      <c r="G73" s="277"/>
      <c r="H73" s="278"/>
      <c r="I73" s="316" t="s">
        <v>575</v>
      </c>
      <c r="J73" s="310"/>
      <c r="K73" s="310"/>
      <c r="L73" s="310"/>
      <c r="M73" s="310"/>
      <c r="N73" s="313"/>
      <c r="O73" s="276"/>
      <c r="P73" s="277"/>
      <c r="Q73" s="277"/>
      <c r="R73" s="277"/>
      <c r="S73" s="277"/>
      <c r="T73" s="277"/>
      <c r="U73" s="277"/>
      <c r="V73" s="278"/>
      <c r="W73" s="333" t="s">
        <v>577</v>
      </c>
      <c r="X73" s="327"/>
      <c r="Y73" s="327"/>
      <c r="Z73" s="327"/>
      <c r="AA73" s="336" t="s">
        <v>580</v>
      </c>
      <c r="AB73" s="330"/>
      <c r="AC73" s="276"/>
      <c r="AD73" s="277"/>
      <c r="AE73" s="277"/>
      <c r="AF73" s="277"/>
      <c r="AG73" s="277"/>
      <c r="AH73" s="277"/>
      <c r="AI73" s="277"/>
      <c r="AJ73" s="278"/>
      <c r="AK73" s="256"/>
      <c r="AL73" s="340"/>
    </row>
    <row r="74" spans="2:73" x14ac:dyDescent="0.4">
      <c r="C74" s="292"/>
      <c r="D74" s="305"/>
      <c r="E74" s="276"/>
      <c r="F74" s="277"/>
      <c r="G74" s="277"/>
      <c r="H74" s="278"/>
      <c r="I74" s="309"/>
      <c r="J74" s="308"/>
      <c r="K74" s="308"/>
      <c r="L74" s="308"/>
      <c r="M74" s="308"/>
      <c r="N74" s="314"/>
      <c r="O74" s="276"/>
      <c r="P74" s="277"/>
      <c r="Q74" s="277"/>
      <c r="R74" s="277"/>
      <c r="S74" s="277"/>
      <c r="T74" s="277"/>
      <c r="U74" s="277"/>
      <c r="V74" s="278"/>
      <c r="W74" s="326"/>
      <c r="X74" s="325"/>
      <c r="Y74" s="325"/>
      <c r="Z74" s="325"/>
      <c r="AA74" s="325"/>
      <c r="AB74" s="331"/>
      <c r="AC74" s="276"/>
      <c r="AD74" s="277"/>
      <c r="AE74" s="277"/>
      <c r="AF74" s="277"/>
      <c r="AG74" s="280"/>
      <c r="AH74" s="280"/>
      <c r="AI74" s="280"/>
      <c r="AJ74" s="280"/>
      <c r="AK74" s="337"/>
      <c r="AL74" s="338"/>
    </row>
    <row r="75" spans="2:73" x14ac:dyDescent="0.4">
      <c r="C75" s="292"/>
      <c r="D75" s="305"/>
      <c r="E75" s="276"/>
      <c r="F75" s="277"/>
      <c r="G75" s="277"/>
      <c r="H75" s="278"/>
      <c r="I75" s="311"/>
      <c r="J75" s="312"/>
      <c r="K75" s="312"/>
      <c r="L75" s="312"/>
      <c r="M75" s="312"/>
      <c r="N75" s="315"/>
      <c r="O75" s="276"/>
      <c r="P75" s="277"/>
      <c r="Q75" s="277"/>
      <c r="R75" s="277"/>
      <c r="S75" s="277"/>
      <c r="T75" s="277"/>
      <c r="U75" s="277"/>
      <c r="V75" s="278"/>
      <c r="W75" s="326"/>
      <c r="X75" s="325"/>
      <c r="Y75" s="325"/>
      <c r="Z75" s="325"/>
      <c r="AA75" s="325"/>
      <c r="AB75" s="331"/>
      <c r="AC75" s="335" t="s">
        <v>579</v>
      </c>
      <c r="AD75" s="277"/>
      <c r="AE75" s="277"/>
      <c r="AF75" s="278"/>
      <c r="AG75" s="299" t="s">
        <v>424</v>
      </c>
      <c r="AH75" s="294"/>
      <c r="AI75" s="294"/>
      <c r="AJ75" s="294"/>
      <c r="AK75" s="294"/>
      <c r="AL75" s="297"/>
    </row>
    <row r="76" spans="2:73" x14ac:dyDescent="0.4">
      <c r="B76" s="125">
        <v>15</v>
      </c>
      <c r="C76" s="292"/>
      <c r="D76" s="305"/>
      <c r="E76" s="276"/>
      <c r="F76" s="277"/>
      <c r="G76" s="277"/>
      <c r="H76" s="277"/>
      <c r="I76" s="274"/>
      <c r="J76" s="274"/>
      <c r="K76" s="274"/>
      <c r="L76" s="274"/>
      <c r="M76" s="274"/>
      <c r="N76" s="274"/>
      <c r="O76" s="277"/>
      <c r="P76" s="277"/>
      <c r="Q76" s="277"/>
      <c r="R76" s="277"/>
      <c r="S76" s="277"/>
      <c r="T76" s="277"/>
      <c r="U76" s="277"/>
      <c r="V76" s="278"/>
      <c r="W76" s="326"/>
      <c r="X76" s="325"/>
      <c r="Y76" s="325"/>
      <c r="Z76" s="325"/>
      <c r="AA76" s="325"/>
      <c r="AB76" s="331"/>
      <c r="AC76" s="276"/>
      <c r="AD76" s="277"/>
      <c r="AE76" s="277"/>
      <c r="AF76" s="278"/>
      <c r="AG76" s="292"/>
      <c r="AH76" s="290"/>
      <c r="AI76" s="290"/>
      <c r="AJ76" s="290"/>
      <c r="AK76" s="290"/>
      <c r="AL76" s="305"/>
    </row>
    <row r="77" spans="2:73" x14ac:dyDescent="0.4">
      <c r="C77" s="292"/>
      <c r="D77" s="305"/>
      <c r="E77" s="276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8"/>
      <c r="W77" s="328"/>
      <c r="X77" s="329"/>
      <c r="Y77" s="329"/>
      <c r="Z77" s="329"/>
      <c r="AA77" s="329"/>
      <c r="AB77" s="332"/>
      <c r="AC77" s="276"/>
      <c r="AD77" s="277"/>
      <c r="AE77" s="277"/>
      <c r="AF77" s="278"/>
      <c r="AG77" s="292"/>
      <c r="AH77" s="290"/>
      <c r="AI77" s="290"/>
      <c r="AJ77" s="290"/>
      <c r="AK77" s="290"/>
      <c r="AL77" s="305"/>
    </row>
    <row r="78" spans="2:73" x14ac:dyDescent="0.4">
      <c r="C78" s="292"/>
      <c r="D78" s="305"/>
      <c r="E78" s="276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4"/>
      <c r="X78" s="274"/>
      <c r="Y78" s="274"/>
      <c r="Z78" s="274"/>
      <c r="AA78" s="274"/>
      <c r="AB78" s="274"/>
      <c r="AC78" s="277"/>
      <c r="AD78" s="277"/>
      <c r="AE78" s="277"/>
      <c r="AF78" s="278"/>
      <c r="AG78" s="292"/>
      <c r="AH78" s="290"/>
      <c r="AI78" s="290"/>
      <c r="AJ78" s="290"/>
      <c r="AK78" s="290"/>
      <c r="AL78" s="305"/>
    </row>
    <row r="79" spans="2:73" x14ac:dyDescent="0.4">
      <c r="C79" s="292"/>
      <c r="D79" s="305"/>
      <c r="E79" s="276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8"/>
      <c r="AG79" s="292"/>
      <c r="AH79" s="290"/>
      <c r="AI79" s="290"/>
      <c r="AJ79" s="290"/>
      <c r="AK79" s="290"/>
      <c r="AL79" s="305"/>
    </row>
    <row r="80" spans="2:73" x14ac:dyDescent="0.4">
      <c r="C80" s="295"/>
      <c r="D80" s="298"/>
      <c r="E80" s="279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  <c r="AB80" s="280"/>
      <c r="AC80" s="280"/>
      <c r="AD80" s="280"/>
      <c r="AE80" s="280"/>
      <c r="AF80" s="281"/>
      <c r="AG80" s="295"/>
      <c r="AH80" s="296"/>
      <c r="AI80" s="296"/>
      <c r="AJ80" s="296"/>
      <c r="AK80" s="296"/>
      <c r="AL80" s="298"/>
    </row>
    <row r="81" spans="2:73" x14ac:dyDescent="0.4">
      <c r="B81" s="125">
        <v>20</v>
      </c>
      <c r="C81" s="304" t="s">
        <v>574</v>
      </c>
      <c r="D81" s="301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301"/>
      <c r="AH81" s="301"/>
      <c r="AI81" s="301"/>
      <c r="AJ81" s="301"/>
      <c r="AK81" s="301"/>
      <c r="AL81" s="307"/>
    </row>
    <row r="82" spans="2:73" x14ac:dyDescent="0.4">
      <c r="C82" s="295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8"/>
    </row>
    <row r="86" spans="2:73" ht="15.75" x14ac:dyDescent="0.4">
      <c r="B86" s="122" t="s">
        <v>595</v>
      </c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3" t="s">
        <v>596</v>
      </c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</row>
    <row r="87" spans="2:73" ht="12" x14ac:dyDescent="0.4">
      <c r="B87" s="124" t="s">
        <v>597</v>
      </c>
    </row>
    <row r="88" spans="2:73" ht="12" x14ac:dyDescent="0.4">
      <c r="C88" s="125">
        <v>0</v>
      </c>
      <c r="H88" s="125">
        <v>5</v>
      </c>
      <c r="M88" s="125">
        <v>10</v>
      </c>
      <c r="R88" s="125">
        <v>15</v>
      </c>
      <c r="W88" s="125">
        <v>20</v>
      </c>
      <c r="AB88" s="125">
        <v>25</v>
      </c>
      <c r="AG88" s="125">
        <v>30</v>
      </c>
      <c r="AL88" s="125">
        <v>35</v>
      </c>
      <c r="BR88" s="272" t="s">
        <v>310</v>
      </c>
      <c r="BS88" s="272" t="s">
        <v>529</v>
      </c>
      <c r="BT88" s="272" t="s">
        <v>530</v>
      </c>
      <c r="BU88" s="272" t="s">
        <v>531</v>
      </c>
    </row>
    <row r="89" spans="2:73" ht="12" x14ac:dyDescent="0.4">
      <c r="B89" s="125">
        <v>0</v>
      </c>
      <c r="C89" s="345" t="s">
        <v>424</v>
      </c>
      <c r="D89" s="343"/>
      <c r="E89" s="343"/>
      <c r="F89" s="343"/>
      <c r="G89" s="343"/>
      <c r="H89" s="343"/>
      <c r="I89" s="343"/>
      <c r="J89" s="343"/>
      <c r="K89" s="343"/>
      <c r="L89" s="346"/>
      <c r="M89" s="351" t="s">
        <v>598</v>
      </c>
      <c r="N89" s="352"/>
      <c r="O89" s="352"/>
      <c r="P89" s="352"/>
      <c r="Q89" s="352"/>
      <c r="R89" s="352"/>
      <c r="S89" s="352"/>
      <c r="T89" s="352"/>
      <c r="U89" s="352"/>
      <c r="V89" s="352"/>
      <c r="W89" s="352"/>
      <c r="X89" s="352"/>
      <c r="Y89" s="352"/>
      <c r="Z89" s="352"/>
      <c r="AA89" s="352"/>
      <c r="AB89" s="353"/>
      <c r="AC89" s="347" t="s">
        <v>424</v>
      </c>
      <c r="AD89" s="343"/>
      <c r="AE89" s="343"/>
      <c r="AF89" s="343"/>
      <c r="AG89" s="343"/>
      <c r="AH89" s="343"/>
      <c r="AI89" s="343"/>
      <c r="AJ89" s="376"/>
      <c r="AK89" s="376"/>
      <c r="AL89" s="344"/>
      <c r="BR89" s="1019" t="s">
        <v>598</v>
      </c>
      <c r="BS89" s="1019" t="s">
        <v>432</v>
      </c>
      <c r="BT89" s="1019" t="s">
        <v>606</v>
      </c>
      <c r="BU89" s="1019" t="s">
        <v>607</v>
      </c>
    </row>
    <row r="90" spans="2:73" ht="12" x14ac:dyDescent="0.4">
      <c r="C90" s="282"/>
      <c r="D90" s="274"/>
      <c r="E90" s="274"/>
      <c r="F90" s="274"/>
      <c r="G90" s="274"/>
      <c r="H90" s="274"/>
      <c r="I90" s="274"/>
      <c r="J90" s="274"/>
      <c r="K90" s="274"/>
      <c r="L90" s="275"/>
      <c r="M90" s="360" t="s">
        <v>599</v>
      </c>
      <c r="N90" s="350"/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  <c r="Z90" s="350"/>
      <c r="AA90" s="350"/>
      <c r="AB90" s="357"/>
      <c r="AC90" s="273"/>
      <c r="AD90" s="274"/>
      <c r="AE90" s="274"/>
      <c r="AF90" s="274"/>
      <c r="AG90" s="274"/>
      <c r="AH90" s="274"/>
      <c r="AI90" s="275"/>
      <c r="AJ90" s="383" t="s">
        <v>603</v>
      </c>
      <c r="AK90" s="380"/>
      <c r="AL90" s="374"/>
      <c r="BR90" s="1019" t="s">
        <v>599</v>
      </c>
      <c r="BS90" s="1019" t="s">
        <v>425</v>
      </c>
      <c r="BT90" s="1019" t="s">
        <v>608</v>
      </c>
      <c r="BU90" s="1019" t="s">
        <v>609</v>
      </c>
    </row>
    <row r="91" spans="2:73" ht="12" x14ac:dyDescent="0.4">
      <c r="C91" s="283"/>
      <c r="D91" s="277"/>
      <c r="E91" s="277"/>
      <c r="F91" s="277"/>
      <c r="G91" s="277"/>
      <c r="H91" s="277"/>
      <c r="I91" s="277"/>
      <c r="J91" s="277"/>
      <c r="K91" s="277"/>
      <c r="L91" s="1022" t="str">
        <f t="shared" ref="L91:AC91" si="7">IF($AB$3="ON","→","")</f>
        <v>→</v>
      </c>
      <c r="M91" s="1023" t="str">
        <f t="shared" si="7"/>
        <v>→</v>
      </c>
      <c r="N91" s="1024" t="str">
        <f t="shared" si="7"/>
        <v>→</v>
      </c>
      <c r="O91" s="1024" t="str">
        <f t="shared" si="7"/>
        <v>→</v>
      </c>
      <c r="P91" s="1024" t="str">
        <f t="shared" si="7"/>
        <v>→</v>
      </c>
      <c r="Q91" s="1024" t="str">
        <f t="shared" si="7"/>
        <v>→</v>
      </c>
      <c r="R91" s="1024" t="str">
        <f t="shared" si="7"/>
        <v>→</v>
      </c>
      <c r="S91" s="1024" t="str">
        <f t="shared" si="7"/>
        <v>→</v>
      </c>
      <c r="T91" s="1024" t="str">
        <f t="shared" si="7"/>
        <v>→</v>
      </c>
      <c r="U91" s="1024" t="str">
        <f t="shared" si="7"/>
        <v>→</v>
      </c>
      <c r="V91" s="1024" t="str">
        <f t="shared" si="7"/>
        <v>→</v>
      </c>
      <c r="W91" s="1024" t="str">
        <f t="shared" si="7"/>
        <v>→</v>
      </c>
      <c r="X91" s="1024" t="str">
        <f t="shared" si="7"/>
        <v>→</v>
      </c>
      <c r="Y91" s="1024" t="str">
        <f t="shared" si="7"/>
        <v>→</v>
      </c>
      <c r="Z91" s="1024" t="str">
        <f t="shared" si="7"/>
        <v>→</v>
      </c>
      <c r="AA91" s="1024" t="str">
        <f t="shared" si="7"/>
        <v>→</v>
      </c>
      <c r="AB91" s="1025" t="str">
        <f t="shared" si="7"/>
        <v>→</v>
      </c>
      <c r="AC91" s="1026" t="str">
        <f t="shared" si="7"/>
        <v>→</v>
      </c>
      <c r="AD91" s="1020" t="str">
        <f>IF($AB$3="ON","↓","")</f>
        <v>↓</v>
      </c>
      <c r="AE91" s="277"/>
      <c r="AF91" s="277"/>
      <c r="AG91" s="277"/>
      <c r="AH91" s="277"/>
      <c r="AI91" s="278"/>
      <c r="AJ91" s="1029" t="str">
        <f>IF($AB$3="ON","↑","")</f>
        <v>↑</v>
      </c>
      <c r="AK91" s="381"/>
      <c r="AL91" s="375"/>
      <c r="BR91" s="1019" t="s">
        <v>600</v>
      </c>
      <c r="BS91" s="1019" t="s">
        <v>446</v>
      </c>
      <c r="BT91" s="1019" t="s">
        <v>610</v>
      </c>
      <c r="BU91" s="1019" t="s">
        <v>611</v>
      </c>
    </row>
    <row r="92" spans="2:73" ht="12" x14ac:dyDescent="0.4">
      <c r="C92" s="283"/>
      <c r="D92" s="277"/>
      <c r="E92" s="277"/>
      <c r="F92" s="277"/>
      <c r="G92" s="277"/>
      <c r="H92" s="277"/>
      <c r="I92" s="277"/>
      <c r="J92" s="277"/>
      <c r="K92" s="277"/>
      <c r="L92" s="1022" t="str">
        <f>IF($AB$3="ON","↑","")</f>
        <v>↑</v>
      </c>
      <c r="M92" s="354"/>
      <c r="N92" s="349"/>
      <c r="O92" s="349"/>
      <c r="P92" s="349"/>
      <c r="Q92" s="349"/>
      <c r="R92" s="349"/>
      <c r="S92" s="349"/>
      <c r="T92" s="349"/>
      <c r="U92" s="349"/>
      <c r="V92" s="349"/>
      <c r="W92" s="349"/>
      <c r="X92" s="349"/>
      <c r="Y92" s="349"/>
      <c r="Z92" s="349"/>
      <c r="AA92" s="349"/>
      <c r="AB92" s="358"/>
      <c r="AC92" s="276"/>
      <c r="AD92" s="1020" t="str">
        <f>IF($AB$3="ON","↓","")</f>
        <v>↓</v>
      </c>
      <c r="AE92" s="277"/>
      <c r="AF92" s="277"/>
      <c r="AG92" s="277"/>
      <c r="AH92" s="277"/>
      <c r="AI92" s="278"/>
      <c r="AJ92" s="1029" t="str">
        <f>IF($AB$3="ON","↑","")</f>
        <v>↑</v>
      </c>
      <c r="AK92" s="381"/>
      <c r="AL92" s="375"/>
      <c r="BR92" s="1019" t="s">
        <v>601</v>
      </c>
      <c r="BS92" s="1019" t="s">
        <v>449</v>
      </c>
      <c r="BT92" s="1019" t="s">
        <v>612</v>
      </c>
      <c r="BU92" s="1019" t="s">
        <v>613</v>
      </c>
    </row>
    <row r="93" spans="2:73" ht="12" x14ac:dyDescent="0.4">
      <c r="C93" s="283"/>
      <c r="D93" s="277"/>
      <c r="E93" s="277"/>
      <c r="F93" s="277"/>
      <c r="G93" s="277"/>
      <c r="H93" s="277"/>
      <c r="I93" s="277"/>
      <c r="J93" s="277"/>
      <c r="K93" s="277"/>
      <c r="L93" s="1022" t="str">
        <f>IF($AB$3="ON","↑","")</f>
        <v>↑</v>
      </c>
      <c r="M93" s="354"/>
      <c r="N93" s="349"/>
      <c r="O93" s="349"/>
      <c r="P93" s="349"/>
      <c r="Q93" s="349"/>
      <c r="R93" s="349"/>
      <c r="S93" s="349"/>
      <c r="T93" s="349"/>
      <c r="U93" s="349"/>
      <c r="V93" s="349"/>
      <c r="W93" s="349"/>
      <c r="X93" s="349"/>
      <c r="Y93" s="349"/>
      <c r="Z93" s="349"/>
      <c r="AA93" s="349"/>
      <c r="AB93" s="358"/>
      <c r="AC93" s="276"/>
      <c r="AD93" s="1020" t="str">
        <f>IF($AB$3="ON","↓","")</f>
        <v>↓</v>
      </c>
      <c r="AE93" s="371" t="s">
        <v>602</v>
      </c>
      <c r="AF93" s="277"/>
      <c r="AG93" s="277"/>
      <c r="AH93" s="277"/>
      <c r="AI93" s="278"/>
      <c r="AJ93" s="1028" t="str">
        <f>IF($AB$3="ON","↑","")</f>
        <v>↑</v>
      </c>
      <c r="AK93" s="382"/>
      <c r="AL93" s="375"/>
      <c r="BR93" s="1019" t="s">
        <v>603</v>
      </c>
      <c r="BS93" s="1019" t="s">
        <v>431</v>
      </c>
      <c r="BT93" s="1019" t="s">
        <v>593</v>
      </c>
      <c r="BU93" s="1019" t="s">
        <v>614</v>
      </c>
    </row>
    <row r="94" spans="2:73" ht="12" x14ac:dyDescent="0.4">
      <c r="B94" s="125">
        <v>5</v>
      </c>
      <c r="C94" s="283"/>
      <c r="D94" s="277"/>
      <c r="E94" s="277"/>
      <c r="F94" s="277"/>
      <c r="G94" s="277"/>
      <c r="H94" s="277"/>
      <c r="I94" s="277"/>
      <c r="J94" s="277"/>
      <c r="K94" s="277"/>
      <c r="L94" s="1022" t="str">
        <f>IF($AB$3="ON","↑","")</f>
        <v>↑</v>
      </c>
      <c r="M94" s="354"/>
      <c r="N94" s="349"/>
      <c r="O94" s="349"/>
      <c r="P94" s="349"/>
      <c r="Q94" s="349"/>
      <c r="R94" s="349"/>
      <c r="S94" s="349"/>
      <c r="T94" s="349"/>
      <c r="U94" s="349"/>
      <c r="V94" s="349"/>
      <c r="W94" s="349"/>
      <c r="X94" s="349"/>
      <c r="Y94" s="349"/>
      <c r="Z94" s="349"/>
      <c r="AA94" s="349"/>
      <c r="AB94" s="358"/>
      <c r="AC94" s="276"/>
      <c r="AD94" s="1022" t="str">
        <f>IF($AB$3="ON","→","")</f>
        <v>→</v>
      </c>
      <c r="AE94" s="370" t="s">
        <v>601</v>
      </c>
      <c r="AF94" s="279"/>
      <c r="AG94" s="280"/>
      <c r="AH94" s="280"/>
      <c r="AI94" s="280"/>
      <c r="AJ94" s="1027" t="str">
        <f>IF($AB$3="ON","↑","")</f>
        <v>↑</v>
      </c>
      <c r="AK94" s="274"/>
      <c r="AL94" s="288"/>
      <c r="BR94" s="1019" t="s">
        <v>604</v>
      </c>
      <c r="BS94" s="1019" t="s">
        <v>466</v>
      </c>
      <c r="BT94" s="1019" t="s">
        <v>545</v>
      </c>
      <c r="BU94" s="1019" t="s">
        <v>615</v>
      </c>
    </row>
    <row r="95" spans="2:73" ht="12" x14ac:dyDescent="0.4">
      <c r="C95" s="283"/>
      <c r="D95" s="277"/>
      <c r="E95" s="277"/>
      <c r="F95" s="277"/>
      <c r="G95" s="277"/>
      <c r="H95" s="277"/>
      <c r="I95" s="277"/>
      <c r="J95" s="277"/>
      <c r="K95" s="277"/>
      <c r="L95" s="1022" t="str">
        <f>IF($AB$3="ON","↑","")</f>
        <v>↑</v>
      </c>
      <c r="M95" s="354"/>
      <c r="N95" s="349"/>
      <c r="O95" s="349"/>
      <c r="P95" s="349"/>
      <c r="Q95" s="349"/>
      <c r="R95" s="349"/>
      <c r="S95" s="349"/>
      <c r="T95" s="349"/>
      <c r="U95" s="349"/>
      <c r="V95" s="349"/>
      <c r="W95" s="349"/>
      <c r="X95" s="349"/>
      <c r="Y95" s="349"/>
      <c r="Z95" s="349"/>
      <c r="AA95" s="349"/>
      <c r="AB95" s="358"/>
      <c r="AC95" s="276"/>
      <c r="AD95" s="278"/>
      <c r="AE95" s="368"/>
      <c r="AF95" s="365" t="s">
        <v>600</v>
      </c>
      <c r="AG95" s="327"/>
      <c r="AH95" s="327"/>
      <c r="AI95" s="327"/>
      <c r="AJ95" s="330"/>
      <c r="AK95" s="276"/>
      <c r="AL95" s="288"/>
      <c r="BR95" s="1019" t="s">
        <v>605</v>
      </c>
      <c r="BS95" s="1019" t="s">
        <v>450</v>
      </c>
      <c r="BT95" s="1019" t="s">
        <v>616</v>
      </c>
      <c r="BU95" s="1019" t="s">
        <v>617</v>
      </c>
    </row>
    <row r="96" spans="2:73" ht="12" x14ac:dyDescent="0.4">
      <c r="C96" s="283"/>
      <c r="D96" s="193" t="s">
        <v>508</v>
      </c>
      <c r="E96" s="1020" t="str">
        <f t="shared" ref="E96:K96" si="8">IF($AB$3="ON","→","")</f>
        <v>→</v>
      </c>
      <c r="F96" s="1020" t="str">
        <f t="shared" si="8"/>
        <v>→</v>
      </c>
      <c r="G96" s="1020" t="str">
        <f t="shared" si="8"/>
        <v>→</v>
      </c>
      <c r="H96" s="1020" t="str">
        <f t="shared" si="8"/>
        <v>→</v>
      </c>
      <c r="I96" s="1020" t="str">
        <f t="shared" si="8"/>
        <v>→</v>
      </c>
      <c r="J96" s="1020" t="str">
        <f t="shared" si="8"/>
        <v>→</v>
      </c>
      <c r="K96" s="1020" t="str">
        <f t="shared" si="8"/>
        <v>→</v>
      </c>
      <c r="L96" s="1022" t="str">
        <f>IF($AB$3="ON","↑","")</f>
        <v>↑</v>
      </c>
      <c r="M96" s="354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349"/>
      <c r="AB96" s="358"/>
      <c r="AC96" s="276"/>
      <c r="AD96" s="278"/>
      <c r="AE96" s="368"/>
      <c r="AF96" s="366"/>
      <c r="AG96" s="325"/>
      <c r="AH96" s="325"/>
      <c r="AI96" s="325"/>
      <c r="AJ96" s="331"/>
      <c r="AK96" s="276"/>
      <c r="AL96" s="288"/>
      <c r="BR96" s="1019" t="s">
        <v>508</v>
      </c>
      <c r="BS96" s="1019" t="s">
        <v>486</v>
      </c>
      <c r="BT96" s="1019" t="s">
        <v>539</v>
      </c>
      <c r="BU96" s="1019" t="s">
        <v>618</v>
      </c>
    </row>
    <row r="97" spans="2:73" x14ac:dyDescent="0.4">
      <c r="C97" s="283"/>
      <c r="D97" s="277"/>
      <c r="E97" s="277"/>
      <c r="F97" s="277"/>
      <c r="G97" s="277"/>
      <c r="H97" s="277"/>
      <c r="I97" s="277"/>
      <c r="J97" s="277"/>
      <c r="K97" s="277"/>
      <c r="L97" s="278"/>
      <c r="M97" s="354"/>
      <c r="N97" s="349"/>
      <c r="O97" s="349"/>
      <c r="P97" s="349"/>
      <c r="Q97" s="349"/>
      <c r="R97" s="349"/>
      <c r="S97" s="349"/>
      <c r="T97" s="349"/>
      <c r="U97" s="349"/>
      <c r="V97" s="349"/>
      <c r="W97" s="349"/>
      <c r="X97" s="349"/>
      <c r="Y97" s="349"/>
      <c r="Z97" s="349"/>
      <c r="AA97" s="349"/>
      <c r="AB97" s="358"/>
      <c r="AC97" s="276"/>
      <c r="AD97" s="278"/>
      <c r="AE97" s="368"/>
      <c r="AF97" s="366"/>
      <c r="AG97" s="325"/>
      <c r="AH97" s="325"/>
      <c r="AI97" s="325"/>
      <c r="AJ97" s="331"/>
      <c r="AK97" s="276"/>
      <c r="AL97" s="288"/>
    </row>
    <row r="98" spans="2:73" x14ac:dyDescent="0.4">
      <c r="C98" s="283"/>
      <c r="D98" s="277"/>
      <c r="E98" s="277"/>
      <c r="F98" s="277"/>
      <c r="G98" s="277"/>
      <c r="H98" s="277"/>
      <c r="I98" s="277"/>
      <c r="J98" s="277"/>
      <c r="K98" s="277"/>
      <c r="L98" s="278"/>
      <c r="M98" s="354"/>
      <c r="N98" s="349"/>
      <c r="O98" s="349"/>
      <c r="P98" s="349"/>
      <c r="Q98" s="349"/>
      <c r="R98" s="349"/>
      <c r="S98" s="349"/>
      <c r="T98" s="349"/>
      <c r="U98" s="349"/>
      <c r="V98" s="349"/>
      <c r="W98" s="349"/>
      <c r="X98" s="349"/>
      <c r="Y98" s="349"/>
      <c r="Z98" s="349"/>
      <c r="AA98" s="349"/>
      <c r="AB98" s="358"/>
      <c r="AC98" s="276"/>
      <c r="AD98" s="278"/>
      <c r="AE98" s="368"/>
      <c r="AF98" s="367"/>
      <c r="AG98" s="329"/>
      <c r="AH98" s="329"/>
      <c r="AI98" s="329"/>
      <c r="AJ98" s="332"/>
      <c r="AK98" s="276"/>
      <c r="AL98" s="288"/>
    </row>
    <row r="99" spans="2:73" x14ac:dyDescent="0.4">
      <c r="B99" s="125">
        <v>10</v>
      </c>
      <c r="C99" s="283"/>
      <c r="D99" s="277"/>
      <c r="E99" s="277"/>
      <c r="F99" s="277"/>
      <c r="G99" s="277"/>
      <c r="H99" s="277"/>
      <c r="I99" s="277"/>
      <c r="J99" s="277"/>
      <c r="K99" s="277"/>
      <c r="L99" s="278"/>
      <c r="M99" s="354"/>
      <c r="N99" s="349"/>
      <c r="O99" s="349"/>
      <c r="P99" s="349"/>
      <c r="Q99" s="349"/>
      <c r="R99" s="349"/>
      <c r="S99" s="349"/>
      <c r="T99" s="349"/>
      <c r="U99" s="349"/>
      <c r="V99" s="349"/>
      <c r="W99" s="349"/>
      <c r="X99" s="349"/>
      <c r="Y99" s="349"/>
      <c r="Z99" s="349"/>
      <c r="AA99" s="349"/>
      <c r="AB99" s="358"/>
      <c r="AC99" s="276"/>
      <c r="AD99" s="278"/>
      <c r="AE99" s="369"/>
      <c r="AF99" s="273"/>
      <c r="AG99" s="274"/>
      <c r="AH99" s="274"/>
      <c r="AI99" s="274"/>
      <c r="AJ99" s="274"/>
      <c r="AK99" s="277"/>
      <c r="AL99" s="288"/>
    </row>
    <row r="100" spans="2:73" x14ac:dyDescent="0.4">
      <c r="C100" s="283"/>
      <c r="D100" s="277"/>
      <c r="E100" s="277"/>
      <c r="F100" s="277"/>
      <c r="G100" s="277"/>
      <c r="H100" s="277"/>
      <c r="I100" s="277"/>
      <c r="J100" s="277"/>
      <c r="K100" s="277"/>
      <c r="L100" s="278"/>
      <c r="M100" s="354"/>
      <c r="N100" s="349"/>
      <c r="O100" s="349"/>
      <c r="P100" s="349"/>
      <c r="Q100" s="349"/>
      <c r="R100" s="349"/>
      <c r="S100" s="349"/>
      <c r="T100" s="349"/>
      <c r="U100" s="349"/>
      <c r="V100" s="349"/>
      <c r="W100" s="349"/>
      <c r="X100" s="349"/>
      <c r="Y100" s="349"/>
      <c r="Z100" s="349"/>
      <c r="AA100" s="349"/>
      <c r="AB100" s="358"/>
      <c r="AC100" s="279"/>
      <c r="AD100" s="280"/>
      <c r="AE100" s="337"/>
      <c r="AF100" s="277"/>
      <c r="AG100" s="277"/>
      <c r="AH100" s="277"/>
      <c r="AI100" s="277"/>
      <c r="AJ100" s="277"/>
      <c r="AK100" s="277"/>
      <c r="AL100" s="288"/>
    </row>
    <row r="101" spans="2:73" x14ac:dyDescent="0.4">
      <c r="C101" s="283"/>
      <c r="D101" s="277"/>
      <c r="E101" s="277"/>
      <c r="F101" s="277"/>
      <c r="G101" s="277"/>
      <c r="H101" s="277"/>
      <c r="I101" s="277"/>
      <c r="J101" s="277"/>
      <c r="K101" s="277"/>
      <c r="L101" s="278"/>
      <c r="M101" s="354"/>
      <c r="N101" s="349"/>
      <c r="O101" s="349"/>
      <c r="P101" s="349"/>
      <c r="Q101" s="349"/>
      <c r="R101" s="349"/>
      <c r="S101" s="349"/>
      <c r="T101" s="349"/>
      <c r="U101" s="349"/>
      <c r="V101" s="349"/>
      <c r="W101" s="349"/>
      <c r="X101" s="349"/>
      <c r="Y101" s="349"/>
      <c r="Z101" s="349"/>
      <c r="AA101" s="349"/>
      <c r="AB101" s="384"/>
      <c r="AC101" s="386" t="s">
        <v>604</v>
      </c>
      <c r="AD101" s="181"/>
      <c r="AE101" s="184"/>
      <c r="AF101" s="276"/>
      <c r="AG101" s="277"/>
      <c r="AH101" s="277"/>
      <c r="AI101" s="277"/>
      <c r="AJ101" s="277"/>
      <c r="AK101" s="277"/>
      <c r="AL101" s="288"/>
    </row>
    <row r="102" spans="2:73" x14ac:dyDescent="0.4">
      <c r="C102" s="284"/>
      <c r="D102" s="280"/>
      <c r="E102" s="280"/>
      <c r="F102" s="280"/>
      <c r="G102" s="280"/>
      <c r="H102" s="280"/>
      <c r="I102" s="280"/>
      <c r="J102" s="280"/>
      <c r="K102" s="280"/>
      <c r="L102" s="281"/>
      <c r="M102" s="361"/>
      <c r="N102" s="362"/>
      <c r="O102" s="362"/>
      <c r="P102" s="362"/>
      <c r="Q102" s="362"/>
      <c r="R102" s="362"/>
      <c r="S102" s="362"/>
      <c r="T102" s="362"/>
      <c r="U102" s="362"/>
      <c r="V102" s="362"/>
      <c r="W102" s="362"/>
      <c r="X102" s="362"/>
      <c r="Y102" s="362"/>
      <c r="Z102" s="362"/>
      <c r="AA102" s="362"/>
      <c r="AB102" s="363"/>
      <c r="AC102" s="385"/>
      <c r="AD102" s="337"/>
      <c r="AE102" s="337"/>
      <c r="AF102" s="280"/>
      <c r="AG102" s="280"/>
      <c r="AH102" s="280"/>
      <c r="AI102" s="280"/>
      <c r="AJ102" s="280"/>
      <c r="AK102" s="280"/>
      <c r="AL102" s="300"/>
    </row>
    <row r="103" spans="2:73" x14ac:dyDescent="0.4">
      <c r="C103" s="299" t="s">
        <v>424</v>
      </c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388"/>
      <c r="W103" s="393" t="s">
        <v>605</v>
      </c>
      <c r="X103" s="391"/>
      <c r="Y103" s="391"/>
      <c r="Z103" s="392"/>
      <c r="AA103" s="389"/>
      <c r="AB103" s="294"/>
      <c r="AC103" s="294"/>
      <c r="AD103" s="294"/>
      <c r="AE103" s="294"/>
      <c r="AF103" s="294"/>
      <c r="AG103" s="294"/>
      <c r="AH103" s="294"/>
      <c r="AI103" s="294"/>
      <c r="AJ103" s="294"/>
      <c r="AK103" s="294"/>
      <c r="AL103" s="297"/>
    </row>
    <row r="104" spans="2:73" x14ac:dyDescent="0.4">
      <c r="B104" s="125">
        <v>15</v>
      </c>
      <c r="C104" s="295"/>
      <c r="D104" s="296"/>
      <c r="E104" s="296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390"/>
      <c r="X104" s="390"/>
      <c r="Y104" s="390"/>
      <c r="Z104" s="390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8"/>
    </row>
    <row r="108" spans="2:73" ht="15.75" x14ac:dyDescent="0.4">
      <c r="B108" s="122" t="s">
        <v>619</v>
      </c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  <c r="BE108" s="121"/>
      <c r="BF108" s="121"/>
      <c r="BG108" s="121"/>
      <c r="BH108" s="121"/>
      <c r="BI108" s="121"/>
      <c r="BJ108" s="123" t="s">
        <v>620</v>
      </c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21"/>
    </row>
    <row r="109" spans="2:73" ht="12" x14ac:dyDescent="0.4">
      <c r="B109" s="124" t="s">
        <v>621</v>
      </c>
    </row>
    <row r="110" spans="2:73" ht="12" x14ac:dyDescent="0.4">
      <c r="C110" s="125">
        <v>0</v>
      </c>
      <c r="H110" s="125">
        <v>5</v>
      </c>
      <c r="M110" s="125">
        <v>10</v>
      </c>
      <c r="R110" s="125">
        <v>15</v>
      </c>
      <c r="W110" s="125">
        <v>20</v>
      </c>
      <c r="AB110" s="125">
        <v>25</v>
      </c>
      <c r="AG110" s="125">
        <v>30</v>
      </c>
      <c r="AL110" s="125">
        <v>35</v>
      </c>
      <c r="BR110" s="272" t="s">
        <v>310</v>
      </c>
      <c r="BS110" s="272" t="s">
        <v>529</v>
      </c>
      <c r="BT110" s="272" t="s">
        <v>530</v>
      </c>
      <c r="BU110" s="272" t="s">
        <v>531</v>
      </c>
    </row>
    <row r="111" spans="2:73" ht="12" x14ac:dyDescent="0.4">
      <c r="B111" s="125">
        <v>0</v>
      </c>
      <c r="C111" s="299" t="s">
        <v>574</v>
      </c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  <c r="AC111" s="294"/>
      <c r="AD111" s="294"/>
      <c r="AE111" s="294"/>
      <c r="AF111" s="294"/>
      <c r="AG111" s="294"/>
      <c r="AH111" s="294"/>
      <c r="AI111" s="294"/>
      <c r="AJ111" s="294"/>
      <c r="AK111" s="294"/>
      <c r="AL111" s="297"/>
      <c r="BR111" s="1019" t="s">
        <v>622</v>
      </c>
      <c r="BS111" s="1019" t="s">
        <v>446</v>
      </c>
      <c r="BT111" s="1019" t="s">
        <v>629</v>
      </c>
      <c r="BU111" s="1019" t="s">
        <v>630</v>
      </c>
    </row>
    <row r="112" spans="2:73" ht="12" x14ac:dyDescent="0.4">
      <c r="C112" s="295"/>
      <c r="D112" s="296"/>
      <c r="E112" s="302"/>
      <c r="F112" s="302"/>
      <c r="G112" s="302"/>
      <c r="H112" s="302"/>
      <c r="I112" s="302"/>
      <c r="J112" s="302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302"/>
      <c r="AF112" s="302"/>
      <c r="AG112" s="302"/>
      <c r="AH112" s="302"/>
      <c r="AI112" s="302"/>
      <c r="AJ112" s="302"/>
      <c r="AK112" s="296"/>
      <c r="AL112" s="298"/>
      <c r="BR112" s="1019" t="s">
        <v>433</v>
      </c>
      <c r="BS112" s="1019" t="s">
        <v>433</v>
      </c>
      <c r="BT112" s="1019" t="s">
        <v>593</v>
      </c>
      <c r="BU112" s="1019" t="s">
        <v>631</v>
      </c>
    </row>
    <row r="113" spans="2:73" ht="12" x14ac:dyDescent="0.4">
      <c r="C113" s="282"/>
      <c r="D113" s="275"/>
      <c r="E113" s="333" t="s">
        <v>622</v>
      </c>
      <c r="F113" s="327"/>
      <c r="G113" s="327"/>
      <c r="H113" s="327"/>
      <c r="I113" s="327"/>
      <c r="J113" s="330"/>
      <c r="K113" s="273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  <c r="AA113" s="274"/>
      <c r="AB113" s="274"/>
      <c r="AC113" s="274"/>
      <c r="AD113" s="275"/>
      <c r="AE113" s="180" t="s">
        <v>625</v>
      </c>
      <c r="AF113" s="171"/>
      <c r="AG113" s="171"/>
      <c r="AH113" s="171"/>
      <c r="AI113" s="171"/>
      <c r="AJ113" s="177"/>
      <c r="AK113" s="273"/>
      <c r="AL113" s="291"/>
      <c r="BR113" s="1019" t="s">
        <v>623</v>
      </c>
      <c r="BS113" s="1019" t="s">
        <v>447</v>
      </c>
      <c r="BT113" s="1019" t="s">
        <v>632</v>
      </c>
      <c r="BU113" s="1019" t="s">
        <v>633</v>
      </c>
    </row>
    <row r="114" spans="2:73" ht="12" x14ac:dyDescent="0.4">
      <c r="C114" s="283"/>
      <c r="D114" s="278"/>
      <c r="E114" s="326"/>
      <c r="F114" s="325"/>
      <c r="G114" s="325"/>
      <c r="H114" s="325"/>
      <c r="I114" s="325"/>
      <c r="J114" s="331"/>
      <c r="K114" s="276"/>
      <c r="L114" s="277"/>
      <c r="M114" s="280"/>
      <c r="N114" s="280"/>
      <c r="O114" s="280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8"/>
      <c r="AE114" s="175"/>
      <c r="AF114" s="170"/>
      <c r="AG114" s="170"/>
      <c r="AH114" s="170"/>
      <c r="AI114" s="170"/>
      <c r="AJ114" s="178"/>
      <c r="AK114" s="276"/>
      <c r="AL114" s="288"/>
      <c r="BR114" s="1019" t="s">
        <v>625</v>
      </c>
      <c r="BS114" s="1019" t="s">
        <v>440</v>
      </c>
      <c r="BT114" s="1019" t="s">
        <v>634</v>
      </c>
      <c r="BU114" s="1019" t="s">
        <v>635</v>
      </c>
    </row>
    <row r="115" spans="2:73" ht="12" x14ac:dyDescent="0.4">
      <c r="C115" s="283"/>
      <c r="D115" s="278"/>
      <c r="E115" s="326"/>
      <c r="F115" s="325"/>
      <c r="G115" s="325"/>
      <c r="H115" s="325"/>
      <c r="I115" s="325"/>
      <c r="J115" s="331"/>
      <c r="K115" s="276"/>
      <c r="L115" s="278"/>
      <c r="M115" s="413" t="s">
        <v>623</v>
      </c>
      <c r="N115" s="407"/>
      <c r="O115" s="410"/>
      <c r="P115" s="276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8"/>
      <c r="AE115" s="175"/>
      <c r="AF115" s="170"/>
      <c r="AG115" s="170"/>
      <c r="AH115" s="170"/>
      <c r="AI115" s="170"/>
      <c r="AJ115" s="178"/>
      <c r="AK115" s="276"/>
      <c r="AL115" s="288"/>
      <c r="BR115" s="1019" t="s">
        <v>626</v>
      </c>
      <c r="BS115" s="1019" t="s">
        <v>468</v>
      </c>
      <c r="BT115" s="1019" t="s">
        <v>534</v>
      </c>
      <c r="BU115" s="1019" t="s">
        <v>636</v>
      </c>
    </row>
    <row r="116" spans="2:73" ht="12" x14ac:dyDescent="0.4">
      <c r="B116" s="125">
        <v>5</v>
      </c>
      <c r="C116" s="283"/>
      <c r="D116" s="278"/>
      <c r="E116" s="326"/>
      <c r="F116" s="325"/>
      <c r="G116" s="325"/>
      <c r="H116" s="325"/>
      <c r="I116" s="325"/>
      <c r="J116" s="331"/>
      <c r="K116" s="276"/>
      <c r="L116" s="278"/>
      <c r="M116" s="406"/>
      <c r="N116" s="405"/>
      <c r="O116" s="411"/>
      <c r="P116" s="276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8"/>
      <c r="AE116" s="176"/>
      <c r="AF116" s="172"/>
      <c r="AG116" s="172"/>
      <c r="AH116" s="172"/>
      <c r="AI116" s="172"/>
      <c r="AJ116" s="179"/>
      <c r="AK116" s="276"/>
      <c r="AL116" s="288"/>
      <c r="BR116" s="1019" t="s">
        <v>96</v>
      </c>
      <c r="BS116" s="1019" t="s">
        <v>96</v>
      </c>
      <c r="BT116" s="1019" t="s">
        <v>539</v>
      </c>
      <c r="BU116" s="1019" t="s">
        <v>637</v>
      </c>
    </row>
    <row r="117" spans="2:73" ht="12" x14ac:dyDescent="0.4">
      <c r="C117" s="283"/>
      <c r="D117" s="278"/>
      <c r="E117" s="326"/>
      <c r="F117" s="325"/>
      <c r="G117" s="325"/>
      <c r="H117" s="325"/>
      <c r="I117" s="325"/>
      <c r="J117" s="331"/>
      <c r="K117" s="276"/>
      <c r="L117" s="278"/>
      <c r="M117" s="408"/>
      <c r="N117" s="409"/>
      <c r="O117" s="412"/>
      <c r="P117" s="276"/>
      <c r="Q117" s="277"/>
      <c r="R117" s="277"/>
      <c r="S117" s="277"/>
      <c r="T117" s="277"/>
      <c r="U117" s="277"/>
      <c r="V117" s="277"/>
      <c r="W117" s="277"/>
      <c r="X117" s="277"/>
      <c r="Y117" s="414" t="s">
        <v>624</v>
      </c>
      <c r="Z117" s="277"/>
      <c r="AA117" s="277"/>
      <c r="AB117" s="277"/>
      <c r="AC117" s="277"/>
      <c r="AD117" s="277"/>
      <c r="AE117" s="274"/>
      <c r="AF117" s="274"/>
      <c r="AG117" s="274"/>
      <c r="AH117" s="274"/>
      <c r="AI117" s="274"/>
      <c r="AJ117" s="274"/>
      <c r="AK117" s="277"/>
      <c r="AL117" s="288"/>
      <c r="BR117" s="1019" t="s">
        <v>96</v>
      </c>
      <c r="BS117" s="1019" t="s">
        <v>96</v>
      </c>
      <c r="BT117" s="1019" t="s">
        <v>539</v>
      </c>
      <c r="BU117" s="1019" t="s">
        <v>638</v>
      </c>
    </row>
    <row r="118" spans="2:73" ht="12" x14ac:dyDescent="0.4">
      <c r="C118" s="283"/>
      <c r="D118" s="278"/>
      <c r="E118" s="326"/>
      <c r="F118" s="325"/>
      <c r="G118" s="325"/>
      <c r="H118" s="325"/>
      <c r="I118" s="325"/>
      <c r="J118" s="331"/>
      <c r="K118" s="276"/>
      <c r="L118" s="277"/>
      <c r="M118" s="274"/>
      <c r="N118" s="274"/>
      <c r="O118" s="274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  <c r="AG118" s="277"/>
      <c r="AH118" s="277"/>
      <c r="AI118" s="277"/>
      <c r="AJ118" s="277"/>
      <c r="AK118" s="280"/>
      <c r="AL118" s="288"/>
      <c r="BR118" s="1019" t="s">
        <v>150</v>
      </c>
      <c r="BS118" s="1019" t="s">
        <v>496</v>
      </c>
      <c r="BT118" s="1019" t="s">
        <v>539</v>
      </c>
      <c r="BU118" s="1019" t="s">
        <v>639</v>
      </c>
    </row>
    <row r="119" spans="2:73" ht="12" x14ac:dyDescent="0.4">
      <c r="C119" s="283"/>
      <c r="D119" s="278"/>
      <c r="E119" s="326"/>
      <c r="F119" s="325"/>
      <c r="G119" s="325"/>
      <c r="H119" s="325"/>
      <c r="I119" s="325"/>
      <c r="J119" s="331"/>
      <c r="K119" s="276"/>
      <c r="L119" s="277"/>
      <c r="M119" s="277"/>
      <c r="N119" s="277"/>
      <c r="O119" s="277"/>
      <c r="P119" s="277"/>
      <c r="Q119" s="414" t="s">
        <v>624</v>
      </c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278"/>
      <c r="AK119" s="420" t="s">
        <v>627</v>
      </c>
      <c r="AL119" s="375"/>
      <c r="BR119" s="1019" t="s">
        <v>627</v>
      </c>
      <c r="BS119" s="1019" t="s">
        <v>432</v>
      </c>
      <c r="BT119" s="1019" t="s">
        <v>640</v>
      </c>
      <c r="BU119" s="1019" t="s">
        <v>641</v>
      </c>
    </row>
    <row r="120" spans="2:73" ht="12" x14ac:dyDescent="0.4">
      <c r="C120" s="283"/>
      <c r="D120" s="278"/>
      <c r="E120" s="326"/>
      <c r="F120" s="325"/>
      <c r="G120" s="325"/>
      <c r="H120" s="325"/>
      <c r="I120" s="325"/>
      <c r="J120" s="331"/>
      <c r="K120" s="276"/>
      <c r="L120" s="277"/>
      <c r="M120" s="277"/>
      <c r="N120" s="277"/>
      <c r="O120" s="277"/>
      <c r="P120" s="277"/>
      <c r="Q120" s="277"/>
      <c r="R120" s="277"/>
      <c r="S120" s="277"/>
      <c r="T120" s="277"/>
      <c r="U120" s="280"/>
      <c r="V120" s="280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  <c r="AG120" s="277"/>
      <c r="AH120" s="277"/>
      <c r="AI120" s="277"/>
      <c r="AJ120" s="278"/>
      <c r="AK120" s="418"/>
      <c r="AL120" s="375"/>
      <c r="BR120" s="1019" t="s">
        <v>508</v>
      </c>
      <c r="BS120" s="1019" t="s">
        <v>486</v>
      </c>
      <c r="BT120" s="1019" t="s">
        <v>539</v>
      </c>
      <c r="BU120" s="1019" t="s">
        <v>642</v>
      </c>
    </row>
    <row r="121" spans="2:73" ht="12" x14ac:dyDescent="0.4">
      <c r="B121" s="125">
        <v>10</v>
      </c>
      <c r="C121" s="283"/>
      <c r="D121" s="278"/>
      <c r="E121" s="326"/>
      <c r="F121" s="325"/>
      <c r="G121" s="325"/>
      <c r="H121" s="325"/>
      <c r="I121" s="325"/>
      <c r="J121" s="331"/>
      <c r="K121" s="276"/>
      <c r="L121" s="277"/>
      <c r="M121" s="277"/>
      <c r="N121" s="277"/>
      <c r="O121" s="277"/>
      <c r="P121" s="277"/>
      <c r="Q121" s="277"/>
      <c r="R121" s="277"/>
      <c r="S121" s="277"/>
      <c r="T121" s="278"/>
      <c r="U121" s="416" t="s">
        <v>626</v>
      </c>
      <c r="V121" s="415"/>
      <c r="W121" s="276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414" t="s">
        <v>624</v>
      </c>
      <c r="AH121" s="277"/>
      <c r="AI121" s="277"/>
      <c r="AJ121" s="278"/>
      <c r="AK121" s="418"/>
      <c r="AL121" s="375"/>
      <c r="BR121" s="1019" t="s">
        <v>628</v>
      </c>
      <c r="BS121" s="1019" t="s">
        <v>436</v>
      </c>
      <c r="BT121" s="1019" t="s">
        <v>643</v>
      </c>
      <c r="BU121" s="1019" t="s">
        <v>644</v>
      </c>
    </row>
    <row r="122" spans="2:73" x14ac:dyDescent="0.4">
      <c r="C122" s="283"/>
      <c r="D122" s="278"/>
      <c r="E122" s="328"/>
      <c r="F122" s="397"/>
      <c r="G122" s="397"/>
      <c r="H122" s="329"/>
      <c r="I122" s="329"/>
      <c r="J122" s="332"/>
      <c r="K122" s="276"/>
      <c r="L122" s="277"/>
      <c r="M122" s="277"/>
      <c r="N122" s="277"/>
      <c r="O122" s="277"/>
      <c r="P122" s="277"/>
      <c r="Q122" s="277"/>
      <c r="R122" s="277"/>
      <c r="S122" s="277"/>
      <c r="T122" s="277"/>
      <c r="U122" s="274"/>
      <c r="V122" s="274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  <c r="AG122" s="277"/>
      <c r="AH122" s="277"/>
      <c r="AI122" s="277"/>
      <c r="AJ122" s="278"/>
      <c r="AK122" s="418"/>
      <c r="AL122" s="375"/>
    </row>
    <row r="123" spans="2:73" x14ac:dyDescent="0.4">
      <c r="C123" s="283"/>
      <c r="D123" s="277"/>
      <c r="E123" s="275"/>
      <c r="F123" s="404" t="s">
        <v>433</v>
      </c>
      <c r="G123" s="401"/>
      <c r="H123" s="273"/>
      <c r="I123" s="274"/>
      <c r="J123" s="274"/>
      <c r="K123" s="277"/>
      <c r="L123" s="277"/>
      <c r="M123" s="277"/>
      <c r="N123" s="277"/>
      <c r="O123" s="277"/>
      <c r="P123" s="277"/>
      <c r="Q123" s="277"/>
      <c r="R123" s="277"/>
      <c r="S123" s="195" t="s">
        <v>96</v>
      </c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  <c r="AG123" s="277"/>
      <c r="AH123" s="277"/>
      <c r="AI123" s="277"/>
      <c r="AJ123" s="278"/>
      <c r="AK123" s="418"/>
      <c r="AL123" s="375"/>
    </row>
    <row r="124" spans="2:73" x14ac:dyDescent="0.4">
      <c r="C124" s="283"/>
      <c r="D124" s="277"/>
      <c r="E124" s="278"/>
      <c r="F124" s="398"/>
      <c r="G124" s="402"/>
      <c r="H124" s="276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417" t="s">
        <v>150</v>
      </c>
      <c r="X124" s="277"/>
      <c r="Y124" s="277"/>
      <c r="Z124" s="277"/>
      <c r="AA124" s="277"/>
      <c r="AB124" s="277"/>
      <c r="AC124" s="277"/>
      <c r="AD124" s="277"/>
      <c r="AE124" s="277"/>
      <c r="AF124" s="277"/>
      <c r="AG124" s="277"/>
      <c r="AH124" s="277"/>
      <c r="AI124" s="277"/>
      <c r="AJ124" s="278"/>
      <c r="AK124" s="418"/>
      <c r="AL124" s="375"/>
    </row>
    <row r="125" spans="2:73" x14ac:dyDescent="0.4">
      <c r="C125" s="283"/>
      <c r="D125" s="277"/>
      <c r="E125" s="278"/>
      <c r="F125" s="398"/>
      <c r="G125" s="402"/>
      <c r="H125" s="276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  <c r="AA125" s="195" t="s">
        <v>96</v>
      </c>
      <c r="AB125" s="277"/>
      <c r="AC125" s="277"/>
      <c r="AD125" s="277"/>
      <c r="AE125" s="277"/>
      <c r="AF125" s="277"/>
      <c r="AG125" s="277"/>
      <c r="AH125" s="277"/>
      <c r="AI125" s="277"/>
      <c r="AJ125" s="278"/>
      <c r="AK125" s="418"/>
      <c r="AL125" s="375"/>
    </row>
    <row r="126" spans="2:73" x14ac:dyDescent="0.4">
      <c r="B126" s="125">
        <v>15</v>
      </c>
      <c r="C126" s="283"/>
      <c r="D126" s="277"/>
      <c r="E126" s="278"/>
      <c r="F126" s="399"/>
      <c r="G126" s="403"/>
      <c r="H126" s="276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  <c r="AG126" s="277"/>
      <c r="AH126" s="277"/>
      <c r="AI126" s="277"/>
      <c r="AJ126" s="278"/>
      <c r="AK126" s="419"/>
      <c r="AL126" s="421"/>
    </row>
    <row r="127" spans="2:73" x14ac:dyDescent="0.4">
      <c r="C127" s="283"/>
      <c r="D127" s="277"/>
      <c r="E127" s="277"/>
      <c r="F127" s="274"/>
      <c r="G127" s="274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  <c r="AG127" s="277"/>
      <c r="AH127" s="277"/>
      <c r="AI127" s="277"/>
      <c r="AJ127" s="277"/>
      <c r="AK127" s="275"/>
      <c r="AL127" s="422" t="s">
        <v>628</v>
      </c>
    </row>
    <row r="128" spans="2:73" ht="12" x14ac:dyDescent="0.4">
      <c r="C128" s="283"/>
      <c r="D128" s="193" t="s">
        <v>508</v>
      </c>
      <c r="E128" s="1020" t="str">
        <f t="shared" ref="E128:AK128" si="9">IF($AB$3="ON","→","")</f>
        <v>→</v>
      </c>
      <c r="F128" s="1020" t="str">
        <f t="shared" si="9"/>
        <v>→</v>
      </c>
      <c r="G128" s="1020" t="str">
        <f t="shared" si="9"/>
        <v>→</v>
      </c>
      <c r="H128" s="1020" t="str">
        <f t="shared" si="9"/>
        <v>→</v>
      </c>
      <c r="I128" s="1020" t="str">
        <f t="shared" si="9"/>
        <v>→</v>
      </c>
      <c r="J128" s="1020" t="str">
        <f t="shared" si="9"/>
        <v>→</v>
      </c>
      <c r="K128" s="1020" t="str">
        <f t="shared" si="9"/>
        <v>→</v>
      </c>
      <c r="L128" s="1020" t="str">
        <f t="shared" si="9"/>
        <v>→</v>
      </c>
      <c r="M128" s="1020" t="str">
        <f t="shared" si="9"/>
        <v>→</v>
      </c>
      <c r="N128" s="1020" t="str">
        <f t="shared" si="9"/>
        <v>→</v>
      </c>
      <c r="O128" s="1020" t="str">
        <f t="shared" si="9"/>
        <v>→</v>
      </c>
      <c r="P128" s="1020" t="str">
        <f t="shared" si="9"/>
        <v>→</v>
      </c>
      <c r="Q128" s="1020" t="str">
        <f t="shared" si="9"/>
        <v>→</v>
      </c>
      <c r="R128" s="1020" t="str">
        <f t="shared" si="9"/>
        <v>→</v>
      </c>
      <c r="S128" s="1020" t="str">
        <f t="shared" si="9"/>
        <v>→</v>
      </c>
      <c r="T128" s="1020" t="str">
        <f t="shared" si="9"/>
        <v>→</v>
      </c>
      <c r="U128" s="1020" t="str">
        <f t="shared" si="9"/>
        <v>→</v>
      </c>
      <c r="V128" s="1020" t="str">
        <f t="shared" si="9"/>
        <v>→</v>
      </c>
      <c r="W128" s="1020" t="str">
        <f t="shared" si="9"/>
        <v>→</v>
      </c>
      <c r="X128" s="1020" t="str">
        <f t="shared" si="9"/>
        <v>→</v>
      </c>
      <c r="Y128" s="1020" t="str">
        <f t="shared" si="9"/>
        <v>→</v>
      </c>
      <c r="Z128" s="1020" t="str">
        <f t="shared" si="9"/>
        <v>→</v>
      </c>
      <c r="AA128" s="1020" t="str">
        <f t="shared" si="9"/>
        <v>→</v>
      </c>
      <c r="AB128" s="1020" t="str">
        <f t="shared" si="9"/>
        <v>→</v>
      </c>
      <c r="AC128" s="1020" t="str">
        <f t="shared" si="9"/>
        <v>→</v>
      </c>
      <c r="AD128" s="1020" t="str">
        <f t="shared" si="9"/>
        <v>→</v>
      </c>
      <c r="AE128" s="1020" t="str">
        <f t="shared" si="9"/>
        <v>→</v>
      </c>
      <c r="AF128" s="1020" t="str">
        <f t="shared" si="9"/>
        <v>→</v>
      </c>
      <c r="AG128" s="1020" t="str">
        <f t="shared" si="9"/>
        <v>→</v>
      </c>
      <c r="AH128" s="1020" t="str">
        <f t="shared" si="9"/>
        <v>→</v>
      </c>
      <c r="AI128" s="1020" t="str">
        <f t="shared" si="9"/>
        <v>→</v>
      </c>
      <c r="AJ128" s="1020" t="str">
        <f t="shared" si="9"/>
        <v>→</v>
      </c>
      <c r="AK128" s="1022" t="str">
        <f t="shared" si="9"/>
        <v>→</v>
      </c>
      <c r="AL128" s="221"/>
    </row>
    <row r="129" spans="2:73" x14ac:dyDescent="0.4">
      <c r="C129" s="283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  <c r="AG129" s="277"/>
      <c r="AH129" s="277"/>
      <c r="AI129" s="277"/>
      <c r="AJ129" s="277"/>
      <c r="AK129" s="278"/>
      <c r="AL129" s="225"/>
    </row>
    <row r="130" spans="2:73" x14ac:dyDescent="0.4">
      <c r="C130" s="284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  <c r="AH130" s="280"/>
      <c r="AI130" s="280"/>
      <c r="AJ130" s="280"/>
      <c r="AK130" s="280"/>
      <c r="AL130" s="338"/>
    </row>
    <row r="131" spans="2:73" x14ac:dyDescent="0.4">
      <c r="B131" s="125">
        <v>20</v>
      </c>
      <c r="C131" s="299" t="s">
        <v>574</v>
      </c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  <c r="AC131" s="294"/>
      <c r="AD131" s="294"/>
      <c r="AE131" s="294"/>
      <c r="AF131" s="294"/>
      <c r="AG131" s="294"/>
      <c r="AH131" s="294"/>
      <c r="AI131" s="294"/>
      <c r="AJ131" s="294"/>
      <c r="AK131" s="294"/>
      <c r="AL131" s="297"/>
    </row>
    <row r="132" spans="2:73" x14ac:dyDescent="0.4">
      <c r="C132" s="295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8"/>
    </row>
    <row r="136" spans="2:73" ht="15.75" x14ac:dyDescent="0.4">
      <c r="B136" s="122" t="s">
        <v>645</v>
      </c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  <c r="BE136" s="121"/>
      <c r="BF136" s="121"/>
      <c r="BG136" s="121"/>
      <c r="BH136" s="121"/>
      <c r="BI136" s="121"/>
      <c r="BJ136" s="123" t="s">
        <v>646</v>
      </c>
      <c r="BK136" s="121"/>
      <c r="BL136" s="121"/>
      <c r="BM136" s="121"/>
      <c r="BN136" s="121"/>
      <c r="BO136" s="121"/>
      <c r="BP136" s="121"/>
      <c r="BQ136" s="121"/>
      <c r="BR136" s="121"/>
      <c r="BS136" s="121"/>
      <c r="BT136" s="121"/>
      <c r="BU136" s="121"/>
    </row>
    <row r="138" spans="2:73" ht="12.75" thickBot="1" x14ac:dyDescent="0.45">
      <c r="C138" s="125">
        <v>0</v>
      </c>
      <c r="H138" s="125">
        <v>5</v>
      </c>
      <c r="M138" s="125">
        <v>10</v>
      </c>
      <c r="R138" s="125">
        <v>15</v>
      </c>
      <c r="W138" s="125">
        <v>20</v>
      </c>
      <c r="AB138" s="125">
        <v>25</v>
      </c>
      <c r="AG138" s="125">
        <v>30</v>
      </c>
      <c r="AL138" s="125">
        <v>35</v>
      </c>
      <c r="AQ138" s="125">
        <v>40</v>
      </c>
      <c r="BR138" s="272" t="s">
        <v>310</v>
      </c>
      <c r="BS138" s="272" t="s">
        <v>529</v>
      </c>
      <c r="BT138" s="272" t="s">
        <v>530</v>
      </c>
      <c r="BU138" s="272" t="s">
        <v>531</v>
      </c>
    </row>
    <row r="139" spans="2:73" ht="12" x14ac:dyDescent="0.4">
      <c r="B139" s="125">
        <v>0</v>
      </c>
      <c r="C139" s="299" t="s">
        <v>424</v>
      </c>
      <c r="D139" s="294"/>
      <c r="E139" s="294"/>
      <c r="F139" s="294"/>
      <c r="G139" s="294"/>
      <c r="H139" s="294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388"/>
      <c r="W139" s="360" t="s">
        <v>648</v>
      </c>
      <c r="X139" s="350"/>
      <c r="Y139" s="350"/>
      <c r="Z139" s="350"/>
      <c r="AA139" s="350"/>
      <c r="AB139" s="350"/>
      <c r="AC139" s="350"/>
      <c r="AD139" s="350"/>
      <c r="AE139" s="350"/>
      <c r="AF139" s="350"/>
      <c r="AG139" s="350"/>
      <c r="AH139" s="350"/>
      <c r="AI139" s="350"/>
      <c r="AJ139" s="350"/>
      <c r="AK139" s="350"/>
      <c r="AL139" s="350"/>
      <c r="AM139" s="350"/>
      <c r="AN139" s="357"/>
      <c r="AO139" s="342"/>
      <c r="AP139" s="285"/>
      <c r="AQ139" s="285"/>
      <c r="AR139" s="285"/>
      <c r="AS139" s="285"/>
      <c r="AT139" s="287"/>
      <c r="BR139" s="1019" t="s">
        <v>648</v>
      </c>
      <c r="BS139" s="1019" t="s">
        <v>425</v>
      </c>
      <c r="BT139" s="1019" t="s">
        <v>652</v>
      </c>
      <c r="BU139" s="1019" t="s">
        <v>653</v>
      </c>
    </row>
    <row r="140" spans="2:73" ht="12" x14ac:dyDescent="0.4">
      <c r="C140" s="295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426"/>
      <c r="W140" s="354"/>
      <c r="X140" s="349"/>
      <c r="Y140" s="349"/>
      <c r="Z140" s="349"/>
      <c r="AA140" s="349"/>
      <c r="AB140" s="349"/>
      <c r="AC140" s="349"/>
      <c r="AD140" s="349"/>
      <c r="AE140" s="349"/>
      <c r="AF140" s="349"/>
      <c r="AG140" s="349"/>
      <c r="AH140" s="349"/>
      <c r="AI140" s="349"/>
      <c r="AJ140" s="349"/>
      <c r="AK140" s="349"/>
      <c r="AL140" s="349"/>
      <c r="AM140" s="349"/>
      <c r="AN140" s="358"/>
      <c r="AO140" s="279"/>
      <c r="AP140" s="280"/>
      <c r="AQ140" s="280"/>
      <c r="AR140" s="280"/>
      <c r="AS140" s="280"/>
      <c r="AT140" s="300"/>
      <c r="BR140" s="1019" t="s">
        <v>649</v>
      </c>
      <c r="BS140" s="1019" t="s">
        <v>406</v>
      </c>
      <c r="BT140" s="1019" t="s">
        <v>654</v>
      </c>
      <c r="BU140" s="1019" t="s">
        <v>655</v>
      </c>
    </row>
    <row r="141" spans="2:73" ht="12" x14ac:dyDescent="0.4">
      <c r="C141" s="282"/>
      <c r="D141" s="274"/>
      <c r="E141" s="274"/>
      <c r="F141" s="274"/>
      <c r="G141" s="424" t="s">
        <v>647</v>
      </c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424" t="s">
        <v>647</v>
      </c>
      <c r="T141" s="274"/>
      <c r="U141" s="274"/>
      <c r="V141" s="275"/>
      <c r="W141" s="361"/>
      <c r="X141" s="362"/>
      <c r="Y141" s="362"/>
      <c r="Z141" s="362"/>
      <c r="AA141" s="362"/>
      <c r="AB141" s="362"/>
      <c r="AC141" s="362"/>
      <c r="AD141" s="362"/>
      <c r="AE141" s="362"/>
      <c r="AF141" s="362"/>
      <c r="AG141" s="362"/>
      <c r="AH141" s="362"/>
      <c r="AI141" s="362"/>
      <c r="AJ141" s="362"/>
      <c r="AK141" s="362"/>
      <c r="AL141" s="362"/>
      <c r="AM141" s="362"/>
      <c r="AN141" s="448"/>
      <c r="AO141" s="333" t="s">
        <v>651</v>
      </c>
      <c r="AP141" s="327"/>
      <c r="AQ141" s="327"/>
      <c r="AR141" s="327"/>
      <c r="AS141" s="327"/>
      <c r="AT141" s="330"/>
      <c r="BR141" s="1019" t="s">
        <v>650</v>
      </c>
      <c r="BS141" s="1019" t="s">
        <v>435</v>
      </c>
      <c r="BT141" s="1019" t="s">
        <v>656</v>
      </c>
      <c r="BU141" s="1019" t="s">
        <v>657</v>
      </c>
    </row>
    <row r="142" spans="2:73" ht="12" x14ac:dyDescent="0.4">
      <c r="C142" s="283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8"/>
      <c r="W142" s="444" t="s">
        <v>650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9"/>
      <c r="AO142" s="326"/>
      <c r="AP142" s="325"/>
      <c r="AQ142" s="325"/>
      <c r="AR142" s="325"/>
      <c r="AS142" s="325"/>
      <c r="AT142" s="331"/>
      <c r="BR142" s="1019" t="s">
        <v>650</v>
      </c>
      <c r="BS142" s="1019" t="s">
        <v>435</v>
      </c>
      <c r="BT142" s="1019" t="s">
        <v>656</v>
      </c>
      <c r="BU142" s="1019" t="s">
        <v>658</v>
      </c>
    </row>
    <row r="143" spans="2:73" ht="12" x14ac:dyDescent="0.4">
      <c r="C143" s="283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8"/>
      <c r="W143" s="440" t="s">
        <v>649</v>
      </c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8"/>
      <c r="AO143" s="326"/>
      <c r="AP143" s="325"/>
      <c r="AQ143" s="325"/>
      <c r="AR143" s="325"/>
      <c r="AS143" s="325"/>
      <c r="AT143" s="331"/>
      <c r="BR143" s="1019" t="s">
        <v>651</v>
      </c>
      <c r="BS143" s="1019" t="s">
        <v>446</v>
      </c>
      <c r="BT143" s="1019" t="s">
        <v>659</v>
      </c>
      <c r="BU143" s="1019" t="s">
        <v>544</v>
      </c>
    </row>
    <row r="144" spans="2:73" ht="12" x14ac:dyDescent="0.4">
      <c r="B144" s="125">
        <v>5</v>
      </c>
      <c r="C144" s="283"/>
      <c r="D144" s="193" t="s">
        <v>508</v>
      </c>
      <c r="E144" s="1020" t="str">
        <f t="shared" ref="E144:AR144" si="10">IF($AB$3="ON","→","")</f>
        <v>→</v>
      </c>
      <c r="F144" s="1020" t="str">
        <f t="shared" si="10"/>
        <v>→</v>
      </c>
      <c r="G144" s="1020" t="str">
        <f t="shared" si="10"/>
        <v>→</v>
      </c>
      <c r="H144" s="1020" t="str">
        <f t="shared" si="10"/>
        <v>→</v>
      </c>
      <c r="I144" s="1020" t="str">
        <f t="shared" si="10"/>
        <v>→</v>
      </c>
      <c r="J144" s="1020" t="str">
        <f t="shared" si="10"/>
        <v>→</v>
      </c>
      <c r="K144" s="1020" t="str">
        <f t="shared" si="10"/>
        <v>→</v>
      </c>
      <c r="L144" s="1020" t="str">
        <f t="shared" si="10"/>
        <v>→</v>
      </c>
      <c r="M144" s="1020" t="str">
        <f t="shared" si="10"/>
        <v>→</v>
      </c>
      <c r="N144" s="1020" t="str">
        <f t="shared" si="10"/>
        <v>→</v>
      </c>
      <c r="O144" s="1020" t="str">
        <f t="shared" si="10"/>
        <v>→</v>
      </c>
      <c r="P144" s="1020" t="str">
        <f t="shared" si="10"/>
        <v>→</v>
      </c>
      <c r="Q144" s="1020" t="str">
        <f t="shared" si="10"/>
        <v>→</v>
      </c>
      <c r="R144" s="1020" t="str">
        <f t="shared" si="10"/>
        <v>→</v>
      </c>
      <c r="S144" s="1020" t="str">
        <f t="shared" si="10"/>
        <v>→</v>
      </c>
      <c r="T144" s="1020" t="str">
        <f t="shared" si="10"/>
        <v>→</v>
      </c>
      <c r="U144" s="1020" t="str">
        <f t="shared" si="10"/>
        <v>→</v>
      </c>
      <c r="V144" s="1022" t="str">
        <f t="shared" si="10"/>
        <v>→</v>
      </c>
      <c r="W144" s="1030" t="str">
        <f t="shared" si="10"/>
        <v>→</v>
      </c>
      <c r="X144" s="1031" t="str">
        <f t="shared" si="10"/>
        <v>→</v>
      </c>
      <c r="Y144" s="1031" t="str">
        <f t="shared" si="10"/>
        <v>→</v>
      </c>
      <c r="Z144" s="1031" t="str">
        <f t="shared" si="10"/>
        <v>→</v>
      </c>
      <c r="AA144" s="1031" t="str">
        <f t="shared" si="10"/>
        <v>→</v>
      </c>
      <c r="AB144" s="1031" t="str">
        <f t="shared" si="10"/>
        <v>→</v>
      </c>
      <c r="AC144" s="1031" t="str">
        <f t="shared" si="10"/>
        <v>→</v>
      </c>
      <c r="AD144" s="1031" t="str">
        <f t="shared" si="10"/>
        <v>→</v>
      </c>
      <c r="AE144" s="1031" t="str">
        <f t="shared" si="10"/>
        <v>→</v>
      </c>
      <c r="AF144" s="1031" t="str">
        <f t="shared" si="10"/>
        <v>→</v>
      </c>
      <c r="AG144" s="1031" t="str">
        <f t="shared" si="10"/>
        <v>→</v>
      </c>
      <c r="AH144" s="1031" t="str">
        <f t="shared" si="10"/>
        <v>→</v>
      </c>
      <c r="AI144" s="1031" t="str">
        <f t="shared" si="10"/>
        <v>→</v>
      </c>
      <c r="AJ144" s="1031" t="str">
        <f t="shared" si="10"/>
        <v>→</v>
      </c>
      <c r="AK144" s="1031" t="str">
        <f t="shared" si="10"/>
        <v>→</v>
      </c>
      <c r="AL144" s="1031" t="str">
        <f t="shared" si="10"/>
        <v>→</v>
      </c>
      <c r="AM144" s="1031" t="str">
        <f t="shared" si="10"/>
        <v>→</v>
      </c>
      <c r="AN144" s="1032" t="str">
        <f t="shared" si="10"/>
        <v>→</v>
      </c>
      <c r="AO144" s="1033" t="str">
        <f t="shared" si="10"/>
        <v>→</v>
      </c>
      <c r="AP144" s="1034" t="str">
        <f t="shared" si="10"/>
        <v>→</v>
      </c>
      <c r="AQ144" s="1034" t="str">
        <f t="shared" si="10"/>
        <v>→</v>
      </c>
      <c r="AR144" s="1034" t="str">
        <f t="shared" si="10"/>
        <v>→</v>
      </c>
      <c r="AS144" s="325"/>
      <c r="AT144" s="331"/>
      <c r="BR144" s="1019" t="s">
        <v>508</v>
      </c>
      <c r="BS144" s="1019" t="s">
        <v>486</v>
      </c>
      <c r="BT144" s="1019" t="s">
        <v>539</v>
      </c>
      <c r="BU144" s="1019" t="s">
        <v>660</v>
      </c>
    </row>
    <row r="145" spans="2:73" x14ac:dyDescent="0.4">
      <c r="C145" s="283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8"/>
      <c r="W145" s="444" t="s">
        <v>650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9"/>
      <c r="AO145" s="326"/>
      <c r="AP145" s="325"/>
      <c r="AQ145" s="325"/>
      <c r="AR145" s="325"/>
      <c r="AS145" s="325"/>
      <c r="AT145" s="331"/>
    </row>
    <row r="146" spans="2:73" x14ac:dyDescent="0.4">
      <c r="C146" s="284"/>
      <c r="D146" s="280"/>
      <c r="E146" s="280"/>
      <c r="F146" s="280"/>
      <c r="G146" s="280"/>
      <c r="H146" s="280"/>
      <c r="I146" s="280"/>
      <c r="J146" s="280"/>
      <c r="K146" s="280"/>
      <c r="L146" s="280"/>
      <c r="M146" s="371" t="s">
        <v>647</v>
      </c>
      <c r="N146" s="280"/>
      <c r="O146" s="280"/>
      <c r="P146" s="280"/>
      <c r="Q146" s="280"/>
      <c r="R146" s="280"/>
      <c r="S146" s="280"/>
      <c r="T146" s="280"/>
      <c r="U146" s="280"/>
      <c r="V146" s="281"/>
      <c r="W146" s="429"/>
      <c r="X146" s="348"/>
      <c r="Y146" s="348"/>
      <c r="Z146" s="348"/>
      <c r="AA146" s="348"/>
      <c r="AB146" s="348"/>
      <c r="AC146" s="348"/>
      <c r="AD146" s="348"/>
      <c r="AE146" s="348"/>
      <c r="AF146" s="348"/>
      <c r="AG146" s="348"/>
      <c r="AH146" s="348"/>
      <c r="AI146" s="348"/>
      <c r="AJ146" s="348"/>
      <c r="AK146" s="348"/>
      <c r="AL146" s="348"/>
      <c r="AM146" s="348"/>
      <c r="AN146" s="450"/>
      <c r="AO146" s="328"/>
      <c r="AP146" s="329"/>
      <c r="AQ146" s="329"/>
      <c r="AR146" s="329"/>
      <c r="AS146" s="329"/>
      <c r="AT146" s="332"/>
    </row>
    <row r="147" spans="2:73" x14ac:dyDescent="0.4">
      <c r="C147" s="299" t="s">
        <v>424</v>
      </c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388"/>
      <c r="W147" s="354"/>
      <c r="X147" s="349"/>
      <c r="Y147" s="349"/>
      <c r="Z147" s="349"/>
      <c r="AA147" s="349"/>
      <c r="AB147" s="349"/>
      <c r="AC147" s="349"/>
      <c r="AD147" s="349"/>
      <c r="AE147" s="349"/>
      <c r="AF147" s="349"/>
      <c r="AG147" s="349"/>
      <c r="AH147" s="349"/>
      <c r="AI147" s="349"/>
      <c r="AJ147" s="349"/>
      <c r="AK147" s="349"/>
      <c r="AL147" s="349"/>
      <c r="AM147" s="349"/>
      <c r="AN147" s="358"/>
      <c r="AO147" s="273"/>
      <c r="AP147" s="274"/>
      <c r="AQ147" s="274"/>
      <c r="AR147" s="274"/>
      <c r="AS147" s="274"/>
      <c r="AT147" s="291"/>
    </row>
    <row r="148" spans="2:73" ht="11.25" thickBot="1" x14ac:dyDescent="0.45">
      <c r="C148" s="295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426"/>
      <c r="W148" s="355"/>
      <c r="X148" s="356"/>
      <c r="Y148" s="356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9"/>
      <c r="AO148" s="423"/>
      <c r="AP148" s="286"/>
      <c r="AQ148" s="286"/>
      <c r="AR148" s="286"/>
      <c r="AS148" s="286"/>
      <c r="AT148" s="289"/>
    </row>
    <row r="152" spans="2:73" ht="15.75" x14ac:dyDescent="0.4">
      <c r="B152" s="122" t="s">
        <v>661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1"/>
      <c r="BE152" s="121"/>
      <c r="BF152" s="121"/>
      <c r="BG152" s="121"/>
      <c r="BH152" s="121"/>
      <c r="BI152" s="121"/>
      <c r="BJ152" s="123" t="s">
        <v>662</v>
      </c>
      <c r="BK152" s="121"/>
      <c r="BL152" s="121"/>
      <c r="BM152" s="121"/>
      <c r="BN152" s="121"/>
      <c r="BO152" s="121"/>
      <c r="BP152" s="121"/>
      <c r="BQ152" s="121"/>
      <c r="BR152" s="121"/>
      <c r="BS152" s="121"/>
      <c r="BT152" s="121"/>
      <c r="BU152" s="121"/>
    </row>
    <row r="153" spans="2:73" ht="12" x14ac:dyDescent="0.4">
      <c r="B153" s="124" t="s">
        <v>663</v>
      </c>
    </row>
    <row r="154" spans="2:73" ht="12.75" thickBot="1" x14ac:dyDescent="0.45">
      <c r="C154" s="125">
        <v>0</v>
      </c>
      <c r="H154" s="125">
        <v>5</v>
      </c>
      <c r="M154" s="125">
        <v>10</v>
      </c>
      <c r="R154" s="125">
        <v>15</v>
      </c>
      <c r="W154" s="125">
        <v>20</v>
      </c>
      <c r="AB154" s="125">
        <v>25</v>
      </c>
      <c r="BR154" s="272" t="s">
        <v>310</v>
      </c>
      <c r="BS154" s="272" t="s">
        <v>529</v>
      </c>
      <c r="BT154" s="272" t="s">
        <v>530</v>
      </c>
      <c r="BU154" s="272" t="s">
        <v>531</v>
      </c>
    </row>
    <row r="155" spans="2:73" ht="12" x14ac:dyDescent="0.4">
      <c r="B155" s="125">
        <v>0</v>
      </c>
      <c r="C155" s="462"/>
      <c r="D155" s="463"/>
      <c r="E155" s="463"/>
      <c r="F155" s="463"/>
      <c r="G155" s="463"/>
      <c r="H155" s="463"/>
      <c r="I155" s="463"/>
      <c r="J155" s="463"/>
      <c r="K155" s="463"/>
      <c r="L155" s="463"/>
      <c r="M155" s="463"/>
      <c r="N155" s="464"/>
      <c r="O155" s="436" t="s">
        <v>664</v>
      </c>
      <c r="P155" s="431"/>
      <c r="Q155" s="431"/>
      <c r="R155" s="432"/>
      <c r="S155" s="471"/>
      <c r="T155" s="463"/>
      <c r="U155" s="463"/>
      <c r="V155" s="463"/>
      <c r="W155" s="463"/>
      <c r="X155" s="463"/>
      <c r="Y155" s="463"/>
      <c r="Z155" s="463"/>
      <c r="AA155" s="463"/>
      <c r="AB155" s="463"/>
      <c r="AC155" s="463"/>
      <c r="AD155" s="468"/>
      <c r="BR155" s="1019" t="s">
        <v>664</v>
      </c>
      <c r="BS155" s="1019" t="s">
        <v>406</v>
      </c>
      <c r="BT155" s="1019" t="s">
        <v>532</v>
      </c>
      <c r="BU155" s="1019" t="s">
        <v>668</v>
      </c>
    </row>
    <row r="156" spans="2:73" ht="12" x14ac:dyDescent="0.4">
      <c r="C156" s="461"/>
      <c r="D156" s="455"/>
      <c r="E156" s="455"/>
      <c r="F156" s="455"/>
      <c r="G156" s="455"/>
      <c r="H156" s="455"/>
      <c r="I156" s="455"/>
      <c r="J156" s="455"/>
      <c r="K156" s="481" t="s">
        <v>666</v>
      </c>
      <c r="L156" s="455"/>
      <c r="M156" s="455"/>
      <c r="N156" s="456"/>
      <c r="O156" s="427"/>
      <c r="P156" s="999" t="str">
        <f t="shared" ref="P156:P175" si="11">IF($AB$3="ON","↓","")</f>
        <v>↓</v>
      </c>
      <c r="Q156" s="130"/>
      <c r="R156" s="428"/>
      <c r="S156" s="454"/>
      <c r="T156" s="455"/>
      <c r="U156" s="455"/>
      <c r="V156" s="481" t="s">
        <v>666</v>
      </c>
      <c r="W156" s="455"/>
      <c r="X156" s="455"/>
      <c r="Y156" s="455"/>
      <c r="Z156" s="455"/>
      <c r="AA156" s="455"/>
      <c r="AB156" s="455"/>
      <c r="AC156" s="455"/>
      <c r="AD156" s="469"/>
      <c r="BR156" s="1019" t="s">
        <v>665</v>
      </c>
      <c r="BS156" s="1019" t="s">
        <v>448</v>
      </c>
      <c r="BT156" s="1019" t="s">
        <v>532</v>
      </c>
      <c r="BU156" s="1019" t="s">
        <v>669</v>
      </c>
    </row>
    <row r="157" spans="2:73" ht="12" x14ac:dyDescent="0.4">
      <c r="C157" s="461"/>
      <c r="D157" s="455"/>
      <c r="E157" s="455"/>
      <c r="F157" s="455"/>
      <c r="G157" s="455"/>
      <c r="H157" s="455"/>
      <c r="I157" s="455"/>
      <c r="J157" s="455"/>
      <c r="K157" s="455"/>
      <c r="L157" s="455"/>
      <c r="M157" s="455"/>
      <c r="N157" s="456"/>
      <c r="O157" s="427"/>
      <c r="P157" s="999" t="str">
        <f t="shared" si="11"/>
        <v>↓</v>
      </c>
      <c r="Q157" s="130"/>
      <c r="R157" s="428"/>
      <c r="S157" s="454"/>
      <c r="T157" s="455"/>
      <c r="U157" s="455"/>
      <c r="V157" s="455"/>
      <c r="W157" s="455"/>
      <c r="X157" s="455"/>
      <c r="Y157" s="455"/>
      <c r="Z157" s="455"/>
      <c r="AA157" s="455"/>
      <c r="AB157" s="455"/>
      <c r="AC157" s="455"/>
      <c r="AD157" s="469"/>
      <c r="BR157" s="1019" t="s">
        <v>665</v>
      </c>
      <c r="BS157" s="1019" t="s">
        <v>448</v>
      </c>
      <c r="BT157" s="1019" t="s">
        <v>532</v>
      </c>
      <c r="BU157" s="1019" t="s">
        <v>670</v>
      </c>
    </row>
    <row r="158" spans="2:73" ht="12" x14ac:dyDescent="0.4">
      <c r="C158" s="461"/>
      <c r="D158" s="455"/>
      <c r="E158" s="455"/>
      <c r="F158" s="455"/>
      <c r="G158" s="455"/>
      <c r="H158" s="455"/>
      <c r="I158" s="455"/>
      <c r="J158" s="455"/>
      <c r="K158" s="455"/>
      <c r="L158" s="455"/>
      <c r="M158" s="455"/>
      <c r="N158" s="456"/>
      <c r="O158" s="433"/>
      <c r="P158" s="1035" t="str">
        <f t="shared" si="11"/>
        <v>↓</v>
      </c>
      <c r="Q158" s="434"/>
      <c r="R158" s="435"/>
      <c r="S158" s="454"/>
      <c r="T158" s="455"/>
      <c r="U158" s="455"/>
      <c r="V158" s="455"/>
      <c r="W158" s="455"/>
      <c r="X158" s="455"/>
      <c r="Y158" s="455"/>
      <c r="Z158" s="455"/>
      <c r="AA158" s="455"/>
      <c r="AB158" s="455"/>
      <c r="AC158" s="455"/>
      <c r="AD158" s="469"/>
      <c r="BR158" s="1019" t="s">
        <v>665</v>
      </c>
      <c r="BS158" s="1019" t="s">
        <v>448</v>
      </c>
      <c r="BT158" s="1019" t="s">
        <v>532</v>
      </c>
      <c r="BU158" s="1019" t="s">
        <v>671</v>
      </c>
    </row>
    <row r="159" spans="2:73" ht="12" x14ac:dyDescent="0.4">
      <c r="C159" s="461"/>
      <c r="D159" s="455"/>
      <c r="E159" s="455"/>
      <c r="F159" s="458"/>
      <c r="G159" s="458"/>
      <c r="H159" s="458"/>
      <c r="I159" s="458"/>
      <c r="J159" s="455"/>
      <c r="K159" s="455"/>
      <c r="L159" s="455"/>
      <c r="M159" s="455"/>
      <c r="N159" s="455"/>
      <c r="O159" s="452"/>
      <c r="P159" s="1036" t="str">
        <f t="shared" si="11"/>
        <v>↓</v>
      </c>
      <c r="Q159" s="452"/>
      <c r="R159" s="452"/>
      <c r="S159" s="455"/>
      <c r="T159" s="455"/>
      <c r="U159" s="455"/>
      <c r="V159" s="455"/>
      <c r="W159" s="455"/>
      <c r="X159" s="458"/>
      <c r="Y159" s="458"/>
      <c r="Z159" s="458"/>
      <c r="AA159" s="458"/>
      <c r="AB159" s="455"/>
      <c r="AC159" s="455"/>
      <c r="AD159" s="469"/>
      <c r="BR159" s="1019" t="s">
        <v>665</v>
      </c>
      <c r="BS159" s="1019" t="s">
        <v>448</v>
      </c>
      <c r="BT159" s="1019" t="s">
        <v>532</v>
      </c>
      <c r="BU159" s="1019" t="s">
        <v>672</v>
      </c>
    </row>
    <row r="160" spans="2:73" ht="12" x14ac:dyDescent="0.4">
      <c r="B160" s="125">
        <v>5</v>
      </c>
      <c r="C160" s="461"/>
      <c r="D160" s="455"/>
      <c r="E160" s="456"/>
      <c r="F160" s="480" t="s">
        <v>665</v>
      </c>
      <c r="G160" s="474"/>
      <c r="H160" s="474"/>
      <c r="I160" s="477"/>
      <c r="J160" s="454"/>
      <c r="K160" s="455"/>
      <c r="L160" s="455"/>
      <c r="M160" s="455"/>
      <c r="N160" s="455"/>
      <c r="O160" s="455"/>
      <c r="P160" s="1037" t="str">
        <f t="shared" si="11"/>
        <v>↓</v>
      </c>
      <c r="Q160" s="455"/>
      <c r="R160" s="455"/>
      <c r="S160" s="455"/>
      <c r="T160" s="455"/>
      <c r="U160" s="455"/>
      <c r="V160" s="455"/>
      <c r="W160" s="456"/>
      <c r="X160" s="480" t="s">
        <v>665</v>
      </c>
      <c r="Y160" s="474"/>
      <c r="Z160" s="474"/>
      <c r="AA160" s="477"/>
      <c r="AB160" s="454"/>
      <c r="AC160" s="455"/>
      <c r="AD160" s="469"/>
      <c r="BR160" s="1019" t="s">
        <v>666</v>
      </c>
      <c r="BS160" s="1019" t="s">
        <v>482</v>
      </c>
      <c r="BT160" s="1019" t="s">
        <v>539</v>
      </c>
      <c r="BU160" s="1019" t="s">
        <v>673</v>
      </c>
    </row>
    <row r="161" spans="2:73" ht="12" x14ac:dyDescent="0.4">
      <c r="C161" s="461"/>
      <c r="D161" s="455"/>
      <c r="E161" s="456"/>
      <c r="F161" s="473"/>
      <c r="G161" s="472"/>
      <c r="H161" s="472"/>
      <c r="I161" s="478"/>
      <c r="J161" s="454"/>
      <c r="K161" s="455"/>
      <c r="L161" s="455"/>
      <c r="M161" s="455"/>
      <c r="N161" s="455"/>
      <c r="O161" s="455"/>
      <c r="P161" s="1037" t="str">
        <f t="shared" si="11"/>
        <v>↓</v>
      </c>
      <c r="Q161" s="455"/>
      <c r="R161" s="455"/>
      <c r="S161" s="455"/>
      <c r="T161" s="455"/>
      <c r="U161" s="455"/>
      <c r="V161" s="455"/>
      <c r="W161" s="456"/>
      <c r="X161" s="473"/>
      <c r="Y161" s="472"/>
      <c r="Z161" s="472"/>
      <c r="AA161" s="478"/>
      <c r="AB161" s="454"/>
      <c r="AC161" s="455"/>
      <c r="AD161" s="469"/>
      <c r="BR161" s="1019" t="s">
        <v>666</v>
      </c>
      <c r="BS161" s="1019" t="s">
        <v>482</v>
      </c>
      <c r="BT161" s="1019" t="s">
        <v>539</v>
      </c>
      <c r="BU161" s="1019" t="s">
        <v>674</v>
      </c>
    </row>
    <row r="162" spans="2:73" ht="12" x14ac:dyDescent="0.4">
      <c r="C162" s="461"/>
      <c r="D162" s="455"/>
      <c r="E162" s="456"/>
      <c r="F162" s="473"/>
      <c r="G162" s="472"/>
      <c r="H162" s="472"/>
      <c r="I162" s="478"/>
      <c r="J162" s="454"/>
      <c r="K162" s="455"/>
      <c r="L162" s="455"/>
      <c r="M162" s="455"/>
      <c r="N162" s="455"/>
      <c r="O162" s="455"/>
      <c r="P162" s="1037" t="str">
        <f t="shared" si="11"/>
        <v>↓</v>
      </c>
      <c r="Q162" s="455"/>
      <c r="R162" s="455"/>
      <c r="S162" s="455"/>
      <c r="T162" s="455"/>
      <c r="U162" s="455"/>
      <c r="V162" s="455"/>
      <c r="W162" s="456"/>
      <c r="X162" s="473"/>
      <c r="Y162" s="472"/>
      <c r="Z162" s="472"/>
      <c r="AA162" s="478"/>
      <c r="AB162" s="454"/>
      <c r="AC162" s="455"/>
      <c r="AD162" s="469"/>
      <c r="BR162" s="1019" t="s">
        <v>666</v>
      </c>
      <c r="BS162" s="1019" t="s">
        <v>482</v>
      </c>
      <c r="BT162" s="1019" t="s">
        <v>539</v>
      </c>
      <c r="BU162" s="1019" t="s">
        <v>675</v>
      </c>
    </row>
    <row r="163" spans="2:73" ht="12" x14ac:dyDescent="0.4">
      <c r="C163" s="461"/>
      <c r="D163" s="455"/>
      <c r="E163" s="456"/>
      <c r="F163" s="475"/>
      <c r="G163" s="476"/>
      <c r="H163" s="476"/>
      <c r="I163" s="479"/>
      <c r="J163" s="454"/>
      <c r="K163" s="455"/>
      <c r="L163" s="455"/>
      <c r="M163" s="455"/>
      <c r="N163" s="455"/>
      <c r="O163" s="455"/>
      <c r="P163" s="1037" t="str">
        <f t="shared" si="11"/>
        <v>↓</v>
      </c>
      <c r="Q163" s="195" t="s">
        <v>96</v>
      </c>
      <c r="R163" s="455"/>
      <c r="S163" s="455"/>
      <c r="T163" s="455"/>
      <c r="U163" s="455"/>
      <c r="V163" s="455"/>
      <c r="W163" s="456"/>
      <c r="X163" s="475"/>
      <c r="Y163" s="476"/>
      <c r="Z163" s="476"/>
      <c r="AA163" s="479"/>
      <c r="AB163" s="454"/>
      <c r="AC163" s="455"/>
      <c r="AD163" s="469"/>
      <c r="BR163" s="1019" t="s">
        <v>666</v>
      </c>
      <c r="BS163" s="1019" t="s">
        <v>482</v>
      </c>
      <c r="BT163" s="1019" t="s">
        <v>539</v>
      </c>
      <c r="BU163" s="1019" t="s">
        <v>676</v>
      </c>
    </row>
    <row r="164" spans="2:73" ht="12" x14ac:dyDescent="0.4">
      <c r="C164" s="461"/>
      <c r="D164" s="455"/>
      <c r="E164" s="455"/>
      <c r="F164" s="452"/>
      <c r="G164" s="452"/>
      <c r="H164" s="452"/>
      <c r="I164" s="452"/>
      <c r="J164" s="455"/>
      <c r="K164" s="455"/>
      <c r="L164" s="455"/>
      <c r="M164" s="455"/>
      <c r="N164" s="455"/>
      <c r="O164" s="455"/>
      <c r="P164" s="1037" t="str">
        <f t="shared" si="11"/>
        <v>↓</v>
      </c>
      <c r="Q164" s="455"/>
      <c r="R164" s="455"/>
      <c r="S164" s="455"/>
      <c r="T164" s="455"/>
      <c r="U164" s="455"/>
      <c r="V164" s="455"/>
      <c r="W164" s="455"/>
      <c r="X164" s="452"/>
      <c r="Y164" s="452"/>
      <c r="Z164" s="452"/>
      <c r="AA164" s="452"/>
      <c r="AB164" s="455"/>
      <c r="AC164" s="455"/>
      <c r="AD164" s="469"/>
      <c r="BR164" s="1019" t="s">
        <v>96</v>
      </c>
      <c r="BS164" s="1019" t="s">
        <v>96</v>
      </c>
      <c r="BT164" s="1019" t="s">
        <v>539</v>
      </c>
      <c r="BU164" s="1019" t="s">
        <v>677</v>
      </c>
    </row>
    <row r="165" spans="2:73" ht="12" x14ac:dyDescent="0.4">
      <c r="B165" s="125">
        <v>10</v>
      </c>
      <c r="C165" s="461"/>
      <c r="D165" s="455"/>
      <c r="E165" s="455"/>
      <c r="F165" s="455"/>
      <c r="G165" s="455"/>
      <c r="H165" s="455"/>
      <c r="I165" s="455"/>
      <c r="J165" s="455"/>
      <c r="K165" s="455"/>
      <c r="L165" s="455"/>
      <c r="M165" s="455"/>
      <c r="N165" s="455"/>
      <c r="O165" s="455"/>
      <c r="P165" s="1037" t="str">
        <f t="shared" si="11"/>
        <v>↓</v>
      </c>
      <c r="Q165" s="455"/>
      <c r="R165" s="455"/>
      <c r="S165" s="455"/>
      <c r="T165" s="455"/>
      <c r="U165" s="455"/>
      <c r="V165" s="455"/>
      <c r="W165" s="455"/>
      <c r="X165" s="455"/>
      <c r="Y165" s="455"/>
      <c r="Z165" s="455"/>
      <c r="AA165" s="455"/>
      <c r="AB165" s="455"/>
      <c r="AC165" s="455"/>
      <c r="AD165" s="469"/>
      <c r="BR165" s="1019" t="s">
        <v>96</v>
      </c>
      <c r="BS165" s="1019" t="s">
        <v>96</v>
      </c>
      <c r="BT165" s="1019" t="s">
        <v>539</v>
      </c>
      <c r="BU165" s="1019" t="s">
        <v>678</v>
      </c>
    </row>
    <row r="166" spans="2:73" ht="12" x14ac:dyDescent="0.4">
      <c r="C166" s="461"/>
      <c r="D166" s="455"/>
      <c r="E166" s="455"/>
      <c r="F166" s="455"/>
      <c r="G166" s="455"/>
      <c r="H166" s="455"/>
      <c r="I166" s="455"/>
      <c r="J166" s="455"/>
      <c r="K166" s="455"/>
      <c r="L166" s="455"/>
      <c r="M166" s="455"/>
      <c r="N166" s="455"/>
      <c r="O166" s="455"/>
      <c r="P166" s="1037" t="str">
        <f t="shared" si="11"/>
        <v>↓</v>
      </c>
      <c r="Q166" s="455"/>
      <c r="R166" s="455"/>
      <c r="S166" s="455"/>
      <c r="T166" s="455"/>
      <c r="U166" s="455"/>
      <c r="V166" s="455"/>
      <c r="W166" s="455"/>
      <c r="X166" s="455"/>
      <c r="Y166" s="455"/>
      <c r="Z166" s="455"/>
      <c r="AA166" s="455"/>
      <c r="AB166" s="455"/>
      <c r="AC166" s="455"/>
      <c r="AD166" s="469"/>
      <c r="BR166" s="1019" t="s">
        <v>96</v>
      </c>
      <c r="BS166" s="1019" t="s">
        <v>96</v>
      </c>
      <c r="BT166" s="1019" t="s">
        <v>539</v>
      </c>
      <c r="BU166" s="1019" t="s">
        <v>637</v>
      </c>
    </row>
    <row r="167" spans="2:73" ht="12" x14ac:dyDescent="0.4">
      <c r="C167" s="461"/>
      <c r="D167" s="455"/>
      <c r="E167" s="455"/>
      <c r="F167" s="455"/>
      <c r="G167" s="455"/>
      <c r="H167" s="455"/>
      <c r="I167" s="455"/>
      <c r="J167" s="455"/>
      <c r="K167" s="455"/>
      <c r="L167" s="455"/>
      <c r="M167" s="455"/>
      <c r="N167" s="455"/>
      <c r="O167" s="195" t="s">
        <v>96</v>
      </c>
      <c r="P167" s="1037" t="str">
        <f t="shared" si="11"/>
        <v>↓</v>
      </c>
      <c r="Q167" s="455"/>
      <c r="R167" s="455"/>
      <c r="S167" s="195" t="s">
        <v>96</v>
      </c>
      <c r="T167" s="455"/>
      <c r="U167" s="455"/>
      <c r="V167" s="455"/>
      <c r="W167" s="455"/>
      <c r="X167" s="455"/>
      <c r="Y167" s="455"/>
      <c r="Z167" s="455"/>
      <c r="AA167" s="455"/>
      <c r="AB167" s="455"/>
      <c r="AC167" s="455"/>
      <c r="AD167" s="469"/>
      <c r="BR167" s="1019" t="s">
        <v>667</v>
      </c>
      <c r="BS167" s="1019" t="s">
        <v>436</v>
      </c>
      <c r="BT167" s="1019" t="s">
        <v>616</v>
      </c>
      <c r="BU167" s="1019" t="s">
        <v>679</v>
      </c>
    </row>
    <row r="168" spans="2:73" ht="12" x14ac:dyDescent="0.4">
      <c r="C168" s="461"/>
      <c r="D168" s="455"/>
      <c r="E168" s="455"/>
      <c r="F168" s="458"/>
      <c r="G168" s="458"/>
      <c r="H168" s="458"/>
      <c r="I168" s="458"/>
      <c r="J168" s="455"/>
      <c r="K168" s="455"/>
      <c r="L168" s="455"/>
      <c r="M168" s="455"/>
      <c r="N168" s="455"/>
      <c r="O168" s="455"/>
      <c r="P168" s="1037" t="str">
        <f t="shared" si="11"/>
        <v>↓</v>
      </c>
      <c r="Q168" s="455"/>
      <c r="R168" s="455"/>
      <c r="S168" s="455"/>
      <c r="T168" s="455"/>
      <c r="U168" s="455"/>
      <c r="V168" s="455"/>
      <c r="W168" s="455"/>
      <c r="X168" s="458"/>
      <c r="Y168" s="458"/>
      <c r="Z168" s="458"/>
      <c r="AA168" s="458"/>
      <c r="AB168" s="455"/>
      <c r="AC168" s="455"/>
      <c r="AD168" s="469"/>
    </row>
    <row r="169" spans="2:73" ht="12" x14ac:dyDescent="0.4">
      <c r="C169" s="461"/>
      <c r="D169" s="455"/>
      <c r="E169" s="456"/>
      <c r="F169" s="480" t="s">
        <v>665</v>
      </c>
      <c r="G169" s="474"/>
      <c r="H169" s="474"/>
      <c r="I169" s="477"/>
      <c r="J169" s="454"/>
      <c r="K169" s="455"/>
      <c r="L169" s="455"/>
      <c r="M169" s="455"/>
      <c r="N169" s="455"/>
      <c r="O169" s="455"/>
      <c r="P169" s="1037" t="str">
        <f t="shared" si="11"/>
        <v>↓</v>
      </c>
      <c r="Q169" s="455"/>
      <c r="R169" s="455"/>
      <c r="S169" s="455"/>
      <c r="T169" s="455"/>
      <c r="U169" s="455"/>
      <c r="V169" s="455"/>
      <c r="W169" s="456"/>
      <c r="X169" s="480" t="s">
        <v>665</v>
      </c>
      <c r="Y169" s="474"/>
      <c r="Z169" s="474"/>
      <c r="AA169" s="477"/>
      <c r="AB169" s="454"/>
      <c r="AC169" s="455"/>
      <c r="AD169" s="469"/>
    </row>
    <row r="170" spans="2:73" ht="12" x14ac:dyDescent="0.4">
      <c r="B170" s="125">
        <v>15</v>
      </c>
      <c r="C170" s="461"/>
      <c r="D170" s="455"/>
      <c r="E170" s="456"/>
      <c r="F170" s="473"/>
      <c r="G170" s="472"/>
      <c r="H170" s="472"/>
      <c r="I170" s="478"/>
      <c r="J170" s="454"/>
      <c r="K170" s="455"/>
      <c r="L170" s="455"/>
      <c r="M170" s="455"/>
      <c r="N170" s="455"/>
      <c r="O170" s="455"/>
      <c r="P170" s="1037" t="str">
        <f t="shared" si="11"/>
        <v>↓</v>
      </c>
      <c r="Q170" s="455"/>
      <c r="R170" s="455"/>
      <c r="S170" s="455"/>
      <c r="T170" s="455"/>
      <c r="U170" s="455"/>
      <c r="V170" s="455"/>
      <c r="W170" s="456"/>
      <c r="X170" s="473"/>
      <c r="Y170" s="472"/>
      <c r="Z170" s="472"/>
      <c r="AA170" s="478"/>
      <c r="AB170" s="454"/>
      <c r="AC170" s="455"/>
      <c r="AD170" s="469"/>
    </row>
    <row r="171" spans="2:73" ht="12" x14ac:dyDescent="0.4">
      <c r="C171" s="461"/>
      <c r="D171" s="455"/>
      <c r="E171" s="456"/>
      <c r="F171" s="473"/>
      <c r="G171" s="472"/>
      <c r="H171" s="472"/>
      <c r="I171" s="478"/>
      <c r="J171" s="454"/>
      <c r="K171" s="455"/>
      <c r="L171" s="455"/>
      <c r="M171" s="455"/>
      <c r="N171" s="455"/>
      <c r="O171" s="455"/>
      <c r="P171" s="1037" t="str">
        <f t="shared" si="11"/>
        <v>↓</v>
      </c>
      <c r="Q171" s="455"/>
      <c r="R171" s="455"/>
      <c r="S171" s="455"/>
      <c r="T171" s="455"/>
      <c r="U171" s="455"/>
      <c r="V171" s="455"/>
      <c r="W171" s="456"/>
      <c r="X171" s="473"/>
      <c r="Y171" s="472"/>
      <c r="Z171" s="472"/>
      <c r="AA171" s="478"/>
      <c r="AB171" s="454"/>
      <c r="AC171" s="455"/>
      <c r="AD171" s="469"/>
    </row>
    <row r="172" spans="2:73" ht="12" x14ac:dyDescent="0.4">
      <c r="C172" s="461"/>
      <c r="D172" s="455"/>
      <c r="E172" s="456"/>
      <c r="F172" s="475"/>
      <c r="G172" s="476"/>
      <c r="H172" s="476"/>
      <c r="I172" s="479"/>
      <c r="J172" s="454"/>
      <c r="K172" s="455"/>
      <c r="L172" s="455"/>
      <c r="M172" s="455"/>
      <c r="N172" s="455"/>
      <c r="O172" s="455"/>
      <c r="P172" s="1037" t="str">
        <f t="shared" si="11"/>
        <v>↓</v>
      </c>
      <c r="Q172" s="455"/>
      <c r="R172" s="455"/>
      <c r="S172" s="455"/>
      <c r="T172" s="455"/>
      <c r="U172" s="455"/>
      <c r="V172" s="455"/>
      <c r="W172" s="456"/>
      <c r="X172" s="475"/>
      <c r="Y172" s="476"/>
      <c r="Z172" s="476"/>
      <c r="AA172" s="479"/>
      <c r="AB172" s="454"/>
      <c r="AC172" s="455"/>
      <c r="AD172" s="469"/>
    </row>
    <row r="173" spans="2:73" ht="12" x14ac:dyDescent="0.4">
      <c r="C173" s="461"/>
      <c r="D173" s="455"/>
      <c r="E173" s="455"/>
      <c r="F173" s="452"/>
      <c r="G173" s="452"/>
      <c r="H173" s="452"/>
      <c r="I173" s="452"/>
      <c r="J173" s="455"/>
      <c r="K173" s="455"/>
      <c r="L173" s="455"/>
      <c r="M173" s="455"/>
      <c r="N173" s="455"/>
      <c r="O173" s="455"/>
      <c r="P173" s="1037" t="str">
        <f t="shared" si="11"/>
        <v>↓</v>
      </c>
      <c r="Q173" s="455"/>
      <c r="R173" s="455"/>
      <c r="S173" s="455"/>
      <c r="T173" s="455"/>
      <c r="U173" s="455"/>
      <c r="V173" s="455"/>
      <c r="W173" s="455"/>
      <c r="X173" s="452"/>
      <c r="Y173" s="452"/>
      <c r="Z173" s="452"/>
      <c r="AA173" s="452"/>
      <c r="AB173" s="455"/>
      <c r="AC173" s="455"/>
      <c r="AD173" s="469"/>
    </row>
    <row r="174" spans="2:73" ht="12" x14ac:dyDescent="0.4">
      <c r="C174" s="461"/>
      <c r="D174" s="455"/>
      <c r="E174" s="455"/>
      <c r="F174" s="455"/>
      <c r="G174" s="455"/>
      <c r="H174" s="455"/>
      <c r="I174" s="455"/>
      <c r="J174" s="455"/>
      <c r="K174" s="455"/>
      <c r="L174" s="455"/>
      <c r="M174" s="455"/>
      <c r="N174" s="455"/>
      <c r="O174" s="455"/>
      <c r="P174" s="1037" t="str">
        <f t="shared" si="11"/>
        <v>↓</v>
      </c>
      <c r="Q174" s="455"/>
      <c r="R174" s="455"/>
      <c r="S174" s="455"/>
      <c r="T174" s="455"/>
      <c r="U174" s="455"/>
      <c r="V174" s="455"/>
      <c r="W174" s="455"/>
      <c r="X174" s="455"/>
      <c r="Y174" s="455"/>
      <c r="Z174" s="455"/>
      <c r="AA174" s="455"/>
      <c r="AB174" s="455"/>
      <c r="AC174" s="455"/>
      <c r="AD174" s="469"/>
    </row>
    <row r="175" spans="2:73" ht="12" x14ac:dyDescent="0.4">
      <c r="B175" s="125">
        <v>20</v>
      </c>
      <c r="C175" s="461"/>
      <c r="D175" s="455"/>
      <c r="E175" s="455"/>
      <c r="F175" s="455"/>
      <c r="G175" s="455"/>
      <c r="H175" s="455"/>
      <c r="I175" s="455"/>
      <c r="J175" s="455"/>
      <c r="K175" s="481" t="s">
        <v>666</v>
      </c>
      <c r="L175" s="455"/>
      <c r="M175" s="455"/>
      <c r="N175" s="455"/>
      <c r="O175" s="458"/>
      <c r="P175" s="1038" t="str">
        <f t="shared" si="11"/>
        <v>↓</v>
      </c>
      <c r="Q175" s="458"/>
      <c r="R175" s="458"/>
      <c r="S175" s="455"/>
      <c r="T175" s="455"/>
      <c r="U175" s="455"/>
      <c r="V175" s="481" t="s">
        <v>666</v>
      </c>
      <c r="W175" s="455"/>
      <c r="X175" s="455"/>
      <c r="Y175" s="455"/>
      <c r="Z175" s="455"/>
      <c r="AA175" s="455"/>
      <c r="AB175" s="455"/>
      <c r="AC175" s="455"/>
      <c r="AD175" s="469"/>
    </row>
    <row r="176" spans="2:73" ht="11.25" thickBot="1" x14ac:dyDescent="0.45">
      <c r="C176" s="465"/>
      <c r="D176" s="466"/>
      <c r="E176" s="466"/>
      <c r="F176" s="466"/>
      <c r="G176" s="466"/>
      <c r="H176" s="466"/>
      <c r="I176" s="466"/>
      <c r="J176" s="466"/>
      <c r="K176" s="466"/>
      <c r="L176" s="466"/>
      <c r="M176" s="466"/>
      <c r="N176" s="467"/>
      <c r="O176" s="485" t="s">
        <v>667</v>
      </c>
      <c r="P176" s="483"/>
      <c r="Q176" s="483"/>
      <c r="R176" s="484"/>
      <c r="S176" s="482"/>
      <c r="T176" s="466"/>
      <c r="U176" s="466"/>
      <c r="V176" s="466"/>
      <c r="W176" s="466"/>
      <c r="X176" s="466"/>
      <c r="Y176" s="466"/>
      <c r="Z176" s="466"/>
      <c r="AA176" s="466"/>
      <c r="AB176" s="466"/>
      <c r="AC176" s="466"/>
      <c r="AD176" s="470"/>
    </row>
    <row r="180" spans="2:73" ht="15.75" x14ac:dyDescent="0.4">
      <c r="B180" s="122" t="s">
        <v>680</v>
      </c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  <c r="AP180" s="121"/>
      <c r="AQ180" s="121"/>
      <c r="AR180" s="121"/>
      <c r="AS180" s="121"/>
      <c r="AT180" s="121"/>
      <c r="AU180" s="121"/>
      <c r="AV180" s="121"/>
      <c r="AW180" s="121"/>
      <c r="AX180" s="121"/>
      <c r="AY180" s="121"/>
      <c r="AZ180" s="121"/>
      <c r="BA180" s="121"/>
      <c r="BB180" s="121"/>
      <c r="BC180" s="121"/>
      <c r="BD180" s="121"/>
      <c r="BE180" s="121"/>
      <c r="BF180" s="121"/>
      <c r="BG180" s="121"/>
      <c r="BH180" s="121"/>
      <c r="BI180" s="121"/>
      <c r="BJ180" s="123" t="s">
        <v>681</v>
      </c>
      <c r="BK180" s="121"/>
      <c r="BL180" s="121"/>
      <c r="BM180" s="121"/>
      <c r="BN180" s="121"/>
      <c r="BO180" s="121"/>
      <c r="BP180" s="121"/>
      <c r="BQ180" s="121"/>
      <c r="BR180" s="121"/>
      <c r="BS180" s="121"/>
      <c r="BT180" s="121"/>
      <c r="BU180" s="121"/>
    </row>
    <row r="182" spans="2:73" ht="12" x14ac:dyDescent="0.4">
      <c r="C182" s="125">
        <v>0</v>
      </c>
      <c r="H182" s="125">
        <v>5</v>
      </c>
      <c r="M182" s="125">
        <v>10</v>
      </c>
      <c r="R182" s="125">
        <v>15</v>
      </c>
      <c r="W182" s="125">
        <v>20</v>
      </c>
      <c r="AB182" s="125">
        <v>25</v>
      </c>
      <c r="BR182" s="272" t="s">
        <v>310</v>
      </c>
      <c r="BS182" s="272" t="s">
        <v>529</v>
      </c>
      <c r="BT182" s="272" t="s">
        <v>530</v>
      </c>
      <c r="BU182" s="272" t="s">
        <v>531</v>
      </c>
    </row>
    <row r="183" spans="2:73" ht="12" x14ac:dyDescent="0.4">
      <c r="B183" s="125">
        <v>0</v>
      </c>
      <c r="C183" s="501" t="s">
        <v>419</v>
      </c>
      <c r="D183" s="499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505"/>
      <c r="AB183" s="506"/>
      <c r="BR183" s="1019" t="s">
        <v>682</v>
      </c>
      <c r="BS183" s="1019" t="s">
        <v>442</v>
      </c>
      <c r="BT183" s="1019" t="s">
        <v>685</v>
      </c>
      <c r="BU183" s="1019" t="s">
        <v>630</v>
      </c>
    </row>
    <row r="184" spans="2:73" ht="12" x14ac:dyDescent="0.4">
      <c r="C184" s="502"/>
      <c r="D184" s="488"/>
      <c r="E184" s="508"/>
      <c r="F184" s="508"/>
      <c r="G184" s="508"/>
      <c r="H184" s="508"/>
      <c r="I184" s="489"/>
      <c r="J184" s="489"/>
      <c r="K184" s="510" t="s">
        <v>521</v>
      </c>
      <c r="L184" s="489"/>
      <c r="M184" s="489"/>
      <c r="N184" s="489"/>
      <c r="O184" s="1039" t="str">
        <f t="shared" ref="O184:O190" si="12">IF($AB$3="ON","↓","")</f>
        <v>↓</v>
      </c>
      <c r="P184" s="489"/>
      <c r="Q184" s="489"/>
      <c r="R184" s="489"/>
      <c r="S184" s="489"/>
      <c r="T184" s="489"/>
      <c r="U184" s="510" t="s">
        <v>521</v>
      </c>
      <c r="V184" s="489"/>
      <c r="W184" s="508"/>
      <c r="X184" s="508"/>
      <c r="Y184" s="508"/>
      <c r="Z184" s="508"/>
      <c r="AA184" s="490"/>
      <c r="AB184" s="502"/>
      <c r="BR184" s="1019" t="s">
        <v>683</v>
      </c>
      <c r="BS184" s="1019" t="s">
        <v>442</v>
      </c>
      <c r="BT184" s="1019" t="s">
        <v>685</v>
      </c>
      <c r="BU184" s="1019" t="s">
        <v>686</v>
      </c>
    </row>
    <row r="185" spans="2:73" ht="12" x14ac:dyDescent="0.4">
      <c r="C185" s="503"/>
      <c r="D185" s="486"/>
      <c r="E185" s="267" t="s">
        <v>682</v>
      </c>
      <c r="F185" s="229"/>
      <c r="G185" s="229"/>
      <c r="H185" s="265"/>
      <c r="I185" s="491"/>
      <c r="J185" s="492"/>
      <c r="K185" s="492"/>
      <c r="L185" s="492"/>
      <c r="M185" s="492"/>
      <c r="N185" s="492"/>
      <c r="O185" s="1040" t="str">
        <f t="shared" si="12"/>
        <v>↓</v>
      </c>
      <c r="P185" s="492"/>
      <c r="Q185" s="492"/>
      <c r="R185" s="492"/>
      <c r="S185" s="492"/>
      <c r="T185" s="492"/>
      <c r="U185" s="492"/>
      <c r="V185" s="493"/>
      <c r="W185" s="267" t="s">
        <v>683</v>
      </c>
      <c r="X185" s="229"/>
      <c r="Y185" s="229"/>
      <c r="Z185" s="265"/>
      <c r="AA185" s="486"/>
      <c r="AB185" s="503"/>
      <c r="BR185" s="1019" t="s">
        <v>683</v>
      </c>
      <c r="BS185" s="1019" t="s">
        <v>442</v>
      </c>
      <c r="BT185" s="1019" t="s">
        <v>632</v>
      </c>
      <c r="BU185" s="1019" t="s">
        <v>687</v>
      </c>
    </row>
    <row r="186" spans="2:73" ht="12" x14ac:dyDescent="0.4">
      <c r="C186" s="503"/>
      <c r="D186" s="486"/>
      <c r="E186" s="264"/>
      <c r="F186" s="143"/>
      <c r="G186" s="143"/>
      <c r="H186" s="509"/>
      <c r="I186" s="491"/>
      <c r="J186" s="492"/>
      <c r="K186" s="492"/>
      <c r="L186" s="492"/>
      <c r="M186" s="492"/>
      <c r="N186" s="492"/>
      <c r="O186" s="1040" t="str">
        <f t="shared" si="12"/>
        <v>↓</v>
      </c>
      <c r="P186" s="492"/>
      <c r="Q186" s="492"/>
      <c r="R186" s="492"/>
      <c r="S186" s="492"/>
      <c r="T186" s="492"/>
      <c r="U186" s="492"/>
      <c r="V186" s="493"/>
      <c r="W186" s="264"/>
      <c r="X186" s="143"/>
      <c r="Y186" s="143"/>
      <c r="Z186" s="509"/>
      <c r="AA186" s="486"/>
      <c r="AB186" s="503"/>
      <c r="BR186" s="1019" t="s">
        <v>521</v>
      </c>
      <c r="BS186" s="1019" t="s">
        <v>480</v>
      </c>
      <c r="BT186" s="1019" t="s">
        <v>539</v>
      </c>
      <c r="BU186" s="1019" t="s">
        <v>673</v>
      </c>
    </row>
    <row r="187" spans="2:73" ht="12" x14ac:dyDescent="0.4">
      <c r="C187" s="503"/>
      <c r="D187" s="486"/>
      <c r="E187" s="208"/>
      <c r="F187" s="207"/>
      <c r="G187" s="207"/>
      <c r="H187" s="266"/>
      <c r="I187" s="491"/>
      <c r="J187" s="492"/>
      <c r="K187" s="492"/>
      <c r="L187" s="492"/>
      <c r="M187" s="492"/>
      <c r="N187" s="492"/>
      <c r="O187" s="1040" t="str">
        <f t="shared" si="12"/>
        <v>↓</v>
      </c>
      <c r="P187" s="492"/>
      <c r="Q187" s="492"/>
      <c r="R187" s="492"/>
      <c r="S187" s="492"/>
      <c r="T187" s="492"/>
      <c r="U187" s="492"/>
      <c r="V187" s="493"/>
      <c r="W187" s="208"/>
      <c r="X187" s="207"/>
      <c r="Y187" s="207"/>
      <c r="Z187" s="266"/>
      <c r="AA187" s="486"/>
      <c r="AB187" s="503"/>
      <c r="BR187" s="1019" t="s">
        <v>521</v>
      </c>
      <c r="BS187" s="1019" t="s">
        <v>480</v>
      </c>
      <c r="BT187" s="1019" t="s">
        <v>539</v>
      </c>
      <c r="BU187" s="1019" t="s">
        <v>688</v>
      </c>
    </row>
    <row r="188" spans="2:73" ht="12" x14ac:dyDescent="0.4">
      <c r="B188" s="125">
        <v>5</v>
      </c>
      <c r="C188" s="503"/>
      <c r="D188" s="491"/>
      <c r="E188" s="489"/>
      <c r="F188" s="489"/>
      <c r="G188" s="489"/>
      <c r="H188" s="489"/>
      <c r="I188" s="492"/>
      <c r="J188" s="492"/>
      <c r="K188" s="492"/>
      <c r="L188" s="492"/>
      <c r="M188" s="492"/>
      <c r="N188" s="492"/>
      <c r="O188" s="1040" t="str">
        <f t="shared" si="12"/>
        <v>↓</v>
      </c>
      <c r="P188" s="492"/>
      <c r="Q188" s="492"/>
      <c r="R188" s="492"/>
      <c r="S188" s="492"/>
      <c r="T188" s="492"/>
      <c r="U188" s="492"/>
      <c r="V188" s="492"/>
      <c r="W188" s="489"/>
      <c r="X188" s="489"/>
      <c r="Y188" s="489"/>
      <c r="Z188" s="489"/>
      <c r="AA188" s="493"/>
      <c r="AB188" s="503"/>
      <c r="BR188" s="1019" t="s">
        <v>96</v>
      </c>
      <c r="BS188" s="1019" t="s">
        <v>96</v>
      </c>
      <c r="BT188" s="1019" t="s">
        <v>539</v>
      </c>
      <c r="BU188" s="1019" t="s">
        <v>689</v>
      </c>
    </row>
    <row r="189" spans="2:73" ht="12" x14ac:dyDescent="0.4">
      <c r="C189" s="503"/>
      <c r="D189" s="491"/>
      <c r="E189" s="492"/>
      <c r="F189" s="492"/>
      <c r="G189" s="492"/>
      <c r="H189" s="492"/>
      <c r="I189" s="492"/>
      <c r="J189" s="492"/>
      <c r="K189" s="492"/>
      <c r="L189" s="492"/>
      <c r="M189" s="492"/>
      <c r="N189" s="492"/>
      <c r="O189" s="1040" t="str">
        <f t="shared" si="12"/>
        <v>↓</v>
      </c>
      <c r="P189" s="492"/>
      <c r="Q189" s="492"/>
      <c r="R189" s="492"/>
      <c r="S189" s="492"/>
      <c r="T189" s="492"/>
      <c r="U189" s="492"/>
      <c r="V189" s="492"/>
      <c r="W189" s="492"/>
      <c r="X189" s="492"/>
      <c r="Y189" s="492"/>
      <c r="Z189" s="492"/>
      <c r="AA189" s="493"/>
      <c r="AB189" s="503"/>
      <c r="BR189" s="1019" t="s">
        <v>96</v>
      </c>
      <c r="BS189" s="1019" t="s">
        <v>96</v>
      </c>
      <c r="BT189" s="1019" t="s">
        <v>539</v>
      </c>
      <c r="BU189" s="1019" t="s">
        <v>690</v>
      </c>
    </row>
    <row r="190" spans="2:73" ht="12" x14ac:dyDescent="0.4">
      <c r="C190" s="503"/>
      <c r="D190" s="491"/>
      <c r="E190" s="492"/>
      <c r="F190" s="492"/>
      <c r="G190" s="492"/>
      <c r="H190" s="492"/>
      <c r="I190" s="492"/>
      <c r="J190" s="492"/>
      <c r="K190" s="492"/>
      <c r="L190" s="492"/>
      <c r="M190" s="492"/>
      <c r="N190" s="492"/>
      <c r="O190" s="1040" t="str">
        <f t="shared" si="12"/>
        <v>↓</v>
      </c>
      <c r="P190" s="492"/>
      <c r="Q190" s="492"/>
      <c r="R190" s="492"/>
      <c r="S190" s="492"/>
      <c r="T190" s="492"/>
      <c r="U190" s="492"/>
      <c r="V190" s="492"/>
      <c r="W190" s="492"/>
      <c r="X190" s="492"/>
      <c r="Y190" s="492"/>
      <c r="Z190" s="492"/>
      <c r="AA190" s="493"/>
      <c r="AB190" s="503"/>
      <c r="BR190" s="1019" t="s">
        <v>96</v>
      </c>
      <c r="BS190" s="1019" t="s">
        <v>96</v>
      </c>
      <c r="BT190" s="1019" t="s">
        <v>539</v>
      </c>
      <c r="BU190" s="1019" t="s">
        <v>691</v>
      </c>
    </row>
    <row r="191" spans="2:73" ht="12" x14ac:dyDescent="0.4">
      <c r="C191" s="503"/>
      <c r="D191" s="491"/>
      <c r="E191" s="492"/>
      <c r="F191" s="492"/>
      <c r="G191" s="492"/>
      <c r="H191" s="492"/>
      <c r="I191" s="492"/>
      <c r="J191" s="492"/>
      <c r="K191" s="492"/>
      <c r="L191" s="492"/>
      <c r="M191" s="492"/>
      <c r="N191" s="492"/>
      <c r="O191" s="195" t="s">
        <v>96</v>
      </c>
      <c r="P191" s="492"/>
      <c r="Q191" s="492"/>
      <c r="R191" s="492"/>
      <c r="S191" s="492"/>
      <c r="T191" s="492"/>
      <c r="U191" s="492"/>
      <c r="V191" s="492"/>
      <c r="W191" s="492"/>
      <c r="X191" s="492"/>
      <c r="Y191" s="492"/>
      <c r="Z191" s="492"/>
      <c r="AA191" s="493"/>
      <c r="AB191" s="503"/>
      <c r="BR191" s="1019" t="s">
        <v>684</v>
      </c>
      <c r="BS191" s="1019" t="s">
        <v>436</v>
      </c>
      <c r="BT191" s="1019" t="s">
        <v>616</v>
      </c>
      <c r="BU191" s="1019" t="s">
        <v>692</v>
      </c>
    </row>
    <row r="192" spans="2:73" ht="12" x14ac:dyDescent="0.4">
      <c r="C192" s="503"/>
      <c r="D192" s="491"/>
      <c r="E192" s="492"/>
      <c r="F192" s="492"/>
      <c r="G192" s="492"/>
      <c r="H192" s="492"/>
      <c r="I192" s="492"/>
      <c r="J192" s="492"/>
      <c r="K192" s="492"/>
      <c r="L192" s="492"/>
      <c r="M192" s="492"/>
      <c r="N192" s="492"/>
      <c r="O192" s="1040" t="str">
        <f t="shared" ref="O192:O199" si="13">IF($AB$3="ON","↓","")</f>
        <v>↓</v>
      </c>
      <c r="P192" s="492"/>
      <c r="Q192" s="492"/>
      <c r="R192" s="492"/>
      <c r="S192" s="492"/>
      <c r="T192" s="492"/>
      <c r="U192" s="492"/>
      <c r="V192" s="492"/>
      <c r="W192" s="492"/>
      <c r="X192" s="492"/>
      <c r="Y192" s="492"/>
      <c r="Z192" s="492"/>
      <c r="AA192" s="493"/>
      <c r="AB192" s="503"/>
    </row>
    <row r="193" spans="2:73" ht="12" x14ac:dyDescent="0.4">
      <c r="B193" s="125">
        <v>10</v>
      </c>
      <c r="C193" s="503"/>
      <c r="D193" s="491"/>
      <c r="E193" s="492"/>
      <c r="F193" s="492"/>
      <c r="G193" s="492"/>
      <c r="H193" s="492"/>
      <c r="I193" s="492"/>
      <c r="J193" s="492"/>
      <c r="K193" s="492"/>
      <c r="L193" s="492"/>
      <c r="M193" s="492"/>
      <c r="N193" s="492"/>
      <c r="O193" s="1040" t="str">
        <f t="shared" si="13"/>
        <v>↓</v>
      </c>
      <c r="P193" s="492"/>
      <c r="Q193" s="195" t="s">
        <v>96</v>
      </c>
      <c r="R193" s="492"/>
      <c r="S193" s="492"/>
      <c r="T193" s="492"/>
      <c r="U193" s="492"/>
      <c r="V193" s="492"/>
      <c r="W193" s="492"/>
      <c r="X193" s="492"/>
      <c r="Y193" s="492"/>
      <c r="Z193" s="492"/>
      <c r="AA193" s="493"/>
      <c r="AB193" s="503"/>
    </row>
    <row r="194" spans="2:73" ht="12" x14ac:dyDescent="0.4">
      <c r="C194" s="503"/>
      <c r="D194" s="491"/>
      <c r="E194" s="495"/>
      <c r="F194" s="495"/>
      <c r="G194" s="495"/>
      <c r="H194" s="492"/>
      <c r="I194" s="492"/>
      <c r="J194" s="492"/>
      <c r="K194" s="492"/>
      <c r="L194" s="492"/>
      <c r="M194" s="195" t="s">
        <v>96</v>
      </c>
      <c r="N194" s="492"/>
      <c r="O194" s="1040" t="str">
        <f t="shared" si="13"/>
        <v>↓</v>
      </c>
      <c r="P194" s="492"/>
      <c r="Q194" s="492"/>
      <c r="R194" s="492"/>
      <c r="S194" s="492"/>
      <c r="T194" s="492"/>
      <c r="U194" s="492"/>
      <c r="V194" s="492"/>
      <c r="W194" s="492"/>
      <c r="X194" s="492"/>
      <c r="Y194" s="492"/>
      <c r="Z194" s="492"/>
      <c r="AA194" s="493"/>
      <c r="AB194" s="503"/>
    </row>
    <row r="195" spans="2:73" ht="12" x14ac:dyDescent="0.4">
      <c r="C195" s="503"/>
      <c r="D195" s="486"/>
      <c r="E195" s="267" t="s">
        <v>683</v>
      </c>
      <c r="F195" s="229"/>
      <c r="G195" s="265"/>
      <c r="H195" s="491"/>
      <c r="I195" s="492"/>
      <c r="J195" s="492"/>
      <c r="K195" s="492"/>
      <c r="L195" s="492"/>
      <c r="M195" s="492"/>
      <c r="N195" s="492"/>
      <c r="O195" s="1040" t="str">
        <f t="shared" si="13"/>
        <v>↓</v>
      </c>
      <c r="P195" s="492"/>
      <c r="Q195" s="492"/>
      <c r="R195" s="492"/>
      <c r="S195" s="492"/>
      <c r="T195" s="492"/>
      <c r="U195" s="492"/>
      <c r="V195" s="492"/>
      <c r="W195" s="492"/>
      <c r="X195" s="492"/>
      <c r="Y195" s="492"/>
      <c r="Z195" s="492"/>
      <c r="AA195" s="493"/>
      <c r="AB195" s="503"/>
    </row>
    <row r="196" spans="2:73" ht="12" x14ac:dyDescent="0.4">
      <c r="C196" s="503"/>
      <c r="D196" s="486"/>
      <c r="E196" s="264"/>
      <c r="F196" s="143"/>
      <c r="G196" s="509"/>
      <c r="H196" s="491"/>
      <c r="I196" s="492"/>
      <c r="J196" s="492"/>
      <c r="K196" s="492"/>
      <c r="L196" s="492"/>
      <c r="M196" s="492"/>
      <c r="N196" s="492"/>
      <c r="O196" s="1040" t="str">
        <f t="shared" si="13"/>
        <v>↓</v>
      </c>
      <c r="P196" s="492"/>
      <c r="Q196" s="492"/>
      <c r="R196" s="492"/>
      <c r="S196" s="492"/>
      <c r="T196" s="492"/>
      <c r="U196" s="492"/>
      <c r="V196" s="492"/>
      <c r="W196" s="492"/>
      <c r="X196" s="492"/>
      <c r="Y196" s="492"/>
      <c r="Z196" s="492"/>
      <c r="AA196" s="493"/>
      <c r="AB196" s="503"/>
    </row>
    <row r="197" spans="2:73" ht="12" x14ac:dyDescent="0.4">
      <c r="C197" s="503"/>
      <c r="D197" s="486"/>
      <c r="E197" s="208"/>
      <c r="F197" s="207"/>
      <c r="G197" s="266"/>
      <c r="H197" s="491"/>
      <c r="I197" s="492"/>
      <c r="J197" s="492"/>
      <c r="K197" s="492"/>
      <c r="L197" s="492"/>
      <c r="M197" s="492"/>
      <c r="N197" s="492"/>
      <c r="O197" s="1040" t="str">
        <f t="shared" si="13"/>
        <v>↓</v>
      </c>
      <c r="P197" s="492"/>
      <c r="Q197" s="492"/>
      <c r="R197" s="492"/>
      <c r="S197" s="492"/>
      <c r="T197" s="492"/>
      <c r="U197" s="492"/>
      <c r="V197" s="492"/>
      <c r="W197" s="492"/>
      <c r="X197" s="492"/>
      <c r="Y197" s="492"/>
      <c r="Z197" s="492"/>
      <c r="AA197" s="493"/>
      <c r="AB197" s="503"/>
    </row>
    <row r="198" spans="2:73" ht="12" x14ac:dyDescent="0.4">
      <c r="B198" s="125">
        <v>15</v>
      </c>
      <c r="C198" s="503"/>
      <c r="D198" s="491"/>
      <c r="E198" s="489"/>
      <c r="F198" s="489"/>
      <c r="G198" s="489"/>
      <c r="H198" s="492"/>
      <c r="I198" s="492"/>
      <c r="J198" s="492"/>
      <c r="K198" s="492"/>
      <c r="L198" s="492"/>
      <c r="M198" s="492"/>
      <c r="N198" s="492"/>
      <c r="O198" s="1040" t="str">
        <f t="shared" si="13"/>
        <v>↓</v>
      </c>
      <c r="P198" s="492"/>
      <c r="Q198" s="492"/>
      <c r="R198" s="492"/>
      <c r="S198" s="492"/>
      <c r="T198" s="492"/>
      <c r="U198" s="492"/>
      <c r="V198" s="492"/>
      <c r="W198" s="492"/>
      <c r="X198" s="492"/>
      <c r="Y198" s="492"/>
      <c r="Z198" s="492"/>
      <c r="AA198" s="493"/>
      <c r="AB198" s="503"/>
    </row>
    <row r="199" spans="2:73" ht="12" x14ac:dyDescent="0.4">
      <c r="C199" s="507"/>
      <c r="D199" s="494"/>
      <c r="E199" s="495"/>
      <c r="F199" s="495"/>
      <c r="G199" s="495"/>
      <c r="H199" s="495"/>
      <c r="I199" s="495"/>
      <c r="J199" s="495"/>
      <c r="K199" s="495"/>
      <c r="L199" s="495"/>
      <c r="M199" s="495"/>
      <c r="N199" s="495"/>
      <c r="O199" s="1041" t="str">
        <f t="shared" si="13"/>
        <v>↓</v>
      </c>
      <c r="P199" s="495"/>
      <c r="Q199" s="495"/>
      <c r="R199" s="495"/>
      <c r="S199" s="495"/>
      <c r="T199" s="495"/>
      <c r="U199" s="495"/>
      <c r="V199" s="495"/>
      <c r="W199" s="495"/>
      <c r="X199" s="495"/>
      <c r="Y199" s="495"/>
      <c r="Z199" s="495"/>
      <c r="AA199" s="496"/>
      <c r="AB199" s="507"/>
    </row>
    <row r="200" spans="2:73" x14ac:dyDescent="0.4">
      <c r="C200" s="506"/>
      <c r="D200" s="499"/>
      <c r="E200" s="147"/>
      <c r="F200" s="147"/>
      <c r="G200" s="147"/>
      <c r="H200" s="147"/>
      <c r="I200" s="147"/>
      <c r="J200" s="147"/>
      <c r="K200" s="147"/>
      <c r="L200" s="147"/>
      <c r="M200" s="505"/>
      <c r="N200" s="485" t="s">
        <v>684</v>
      </c>
      <c r="O200" s="483"/>
      <c r="P200" s="483"/>
      <c r="Q200" s="484"/>
      <c r="R200" s="499"/>
      <c r="S200" s="147"/>
      <c r="T200" s="147"/>
      <c r="U200" s="147"/>
      <c r="V200" s="147"/>
      <c r="W200" s="147"/>
      <c r="X200" s="147"/>
      <c r="Y200" s="147"/>
      <c r="Z200" s="147"/>
      <c r="AA200" s="505"/>
      <c r="AB200" s="506"/>
    </row>
    <row r="204" spans="2:73" ht="15.75" x14ac:dyDescent="0.4">
      <c r="B204" s="122" t="s">
        <v>693</v>
      </c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3" t="s">
        <v>694</v>
      </c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</row>
    <row r="206" spans="2:73" ht="12" x14ac:dyDescent="0.4">
      <c r="C206" s="125">
        <v>0</v>
      </c>
      <c r="H206" s="125">
        <v>5</v>
      </c>
      <c r="BR206" s="272" t="s">
        <v>310</v>
      </c>
      <c r="BS206" s="272" t="s">
        <v>529</v>
      </c>
      <c r="BT206" s="272" t="s">
        <v>530</v>
      </c>
      <c r="BU206" s="272" t="s">
        <v>531</v>
      </c>
    </row>
    <row r="207" spans="2:73" ht="12" x14ac:dyDescent="0.4">
      <c r="B207" s="125">
        <v>0</v>
      </c>
      <c r="C207" s="514" t="s">
        <v>419</v>
      </c>
      <c r="D207" s="515"/>
      <c r="E207" s="485" t="s">
        <v>684</v>
      </c>
      <c r="F207" s="483"/>
      <c r="G207" s="483"/>
      <c r="H207" s="483"/>
      <c r="I207" s="483"/>
      <c r="J207" s="484"/>
      <c r="K207" s="516" t="s">
        <v>419</v>
      </c>
      <c r="L207" s="511"/>
      <c r="BR207" s="1019" t="s">
        <v>684</v>
      </c>
      <c r="BS207" s="1019" t="s">
        <v>436</v>
      </c>
      <c r="BT207" s="1019" t="s">
        <v>695</v>
      </c>
      <c r="BU207" s="1019" t="s">
        <v>696</v>
      </c>
    </row>
    <row r="208" spans="2:73" ht="12" x14ac:dyDescent="0.4">
      <c r="C208" s="154"/>
      <c r="D208" s="512"/>
      <c r="E208" s="488"/>
      <c r="F208" s="489"/>
      <c r="G208" s="1039" t="str">
        <f t="shared" ref="G208:G226" si="14">IF($AB$3="ON","↑","")</f>
        <v>↑</v>
      </c>
      <c r="H208" s="489"/>
      <c r="I208" s="489"/>
      <c r="J208" s="490"/>
      <c r="K208" s="154"/>
      <c r="L208" s="512"/>
      <c r="BR208" s="1019" t="s">
        <v>459</v>
      </c>
      <c r="BS208" s="1019" t="s">
        <v>459</v>
      </c>
      <c r="BT208" s="1019" t="s">
        <v>532</v>
      </c>
      <c r="BU208" s="1019" t="s">
        <v>697</v>
      </c>
    </row>
    <row r="209" spans="2:73" ht="12" x14ac:dyDescent="0.4">
      <c r="C209" s="154"/>
      <c r="D209" s="512"/>
      <c r="E209" s="491"/>
      <c r="F209" s="492"/>
      <c r="G209" s="1040" t="str">
        <f t="shared" si="14"/>
        <v>↑</v>
      </c>
      <c r="H209" s="492"/>
      <c r="I209" s="492"/>
      <c r="J209" s="493"/>
      <c r="K209" s="154"/>
      <c r="L209" s="512"/>
      <c r="BR209" s="1019" t="s">
        <v>508</v>
      </c>
      <c r="BS209" s="1019" t="s">
        <v>486</v>
      </c>
      <c r="BT209" s="1019" t="s">
        <v>539</v>
      </c>
      <c r="BU209" s="1019" t="s">
        <v>698</v>
      </c>
    </row>
    <row r="210" spans="2:73" ht="12" x14ac:dyDescent="0.4">
      <c r="C210" s="154"/>
      <c r="D210" s="512"/>
      <c r="E210" s="491"/>
      <c r="F210" s="492"/>
      <c r="G210" s="1040" t="str">
        <f t="shared" si="14"/>
        <v>↑</v>
      </c>
      <c r="H210" s="492"/>
      <c r="I210" s="492"/>
      <c r="J210" s="493"/>
      <c r="K210" s="154"/>
      <c r="L210" s="512"/>
    </row>
    <row r="211" spans="2:73" ht="12" x14ac:dyDescent="0.4">
      <c r="C211" s="154"/>
      <c r="D211" s="512"/>
      <c r="E211" s="491"/>
      <c r="F211" s="492"/>
      <c r="G211" s="1040" t="str">
        <f t="shared" si="14"/>
        <v>↑</v>
      </c>
      <c r="H211" s="492"/>
      <c r="I211" s="492"/>
      <c r="J211" s="493"/>
      <c r="K211" s="154"/>
      <c r="L211" s="512"/>
    </row>
    <row r="212" spans="2:73" ht="12" x14ac:dyDescent="0.4">
      <c r="B212" s="125">
        <v>5</v>
      </c>
      <c r="C212" s="154"/>
      <c r="D212" s="512"/>
      <c r="E212" s="491"/>
      <c r="F212" s="492"/>
      <c r="G212" s="1040" t="str">
        <f t="shared" si="14"/>
        <v>↑</v>
      </c>
      <c r="H212" s="492"/>
      <c r="I212" s="492"/>
      <c r="J212" s="493"/>
      <c r="K212" s="154"/>
      <c r="L212" s="512"/>
    </row>
    <row r="213" spans="2:73" ht="12" x14ac:dyDescent="0.4">
      <c r="C213" s="154"/>
      <c r="D213" s="512"/>
      <c r="E213" s="491"/>
      <c r="F213" s="492"/>
      <c r="G213" s="1040" t="str">
        <f t="shared" si="14"/>
        <v>↑</v>
      </c>
      <c r="H213" s="492"/>
      <c r="I213" s="492"/>
      <c r="J213" s="493"/>
      <c r="K213" s="154"/>
      <c r="L213" s="512"/>
    </row>
    <row r="214" spans="2:73" ht="12" x14ac:dyDescent="0.4">
      <c r="C214" s="154"/>
      <c r="D214" s="512"/>
      <c r="E214" s="491"/>
      <c r="F214" s="492"/>
      <c r="G214" s="1040" t="str">
        <f t="shared" si="14"/>
        <v>↑</v>
      </c>
      <c r="H214" s="492"/>
      <c r="I214" s="492"/>
      <c r="J214" s="493"/>
      <c r="K214" s="154"/>
      <c r="L214" s="512"/>
    </row>
    <row r="215" spans="2:73" ht="12" x14ac:dyDescent="0.4">
      <c r="C215" s="154"/>
      <c r="D215" s="512"/>
      <c r="E215" s="491"/>
      <c r="F215" s="492"/>
      <c r="G215" s="1040" t="str">
        <f t="shared" si="14"/>
        <v>↑</v>
      </c>
      <c r="H215" s="492"/>
      <c r="I215" s="492"/>
      <c r="J215" s="493"/>
      <c r="K215" s="154"/>
      <c r="L215" s="512"/>
    </row>
    <row r="216" spans="2:73" ht="12" x14ac:dyDescent="0.4">
      <c r="C216" s="154"/>
      <c r="D216" s="512"/>
      <c r="E216" s="491"/>
      <c r="F216" s="492"/>
      <c r="G216" s="1040" t="str">
        <f t="shared" si="14"/>
        <v>↑</v>
      </c>
      <c r="H216" s="492"/>
      <c r="I216" s="492"/>
      <c r="J216" s="493"/>
      <c r="K216" s="154"/>
      <c r="L216" s="512"/>
    </row>
    <row r="217" spans="2:73" ht="12" x14ac:dyDescent="0.4">
      <c r="B217" s="125">
        <v>10</v>
      </c>
      <c r="C217" s="154"/>
      <c r="D217" s="512"/>
      <c r="E217" s="491"/>
      <c r="F217" s="492"/>
      <c r="G217" s="1040" t="str">
        <f t="shared" si="14"/>
        <v>↑</v>
      </c>
      <c r="H217" s="492"/>
      <c r="I217" s="492"/>
      <c r="J217" s="493"/>
      <c r="K217" s="154"/>
      <c r="L217" s="512"/>
    </row>
    <row r="218" spans="2:73" ht="12" x14ac:dyDescent="0.4">
      <c r="C218" s="154"/>
      <c r="D218" s="512"/>
      <c r="E218" s="491"/>
      <c r="F218" s="492"/>
      <c r="G218" s="1040" t="str">
        <f t="shared" si="14"/>
        <v>↑</v>
      </c>
      <c r="H218" s="492"/>
      <c r="I218" s="492"/>
      <c r="J218" s="493"/>
      <c r="K218" s="154"/>
      <c r="L218" s="512"/>
    </row>
    <row r="219" spans="2:73" ht="12" x14ac:dyDescent="0.4">
      <c r="C219" s="154"/>
      <c r="D219" s="512"/>
      <c r="E219" s="491"/>
      <c r="F219" s="492"/>
      <c r="G219" s="1040" t="str">
        <f t="shared" si="14"/>
        <v>↑</v>
      </c>
      <c r="H219" s="492"/>
      <c r="I219" s="492"/>
      <c r="J219" s="493"/>
      <c r="K219" s="154"/>
      <c r="L219" s="512"/>
    </row>
    <row r="220" spans="2:73" ht="12" x14ac:dyDescent="0.4">
      <c r="C220" s="154"/>
      <c r="D220" s="512"/>
      <c r="E220" s="491"/>
      <c r="F220" s="492"/>
      <c r="G220" s="1040" t="str">
        <f t="shared" si="14"/>
        <v>↑</v>
      </c>
      <c r="H220" s="492"/>
      <c r="I220" s="492"/>
      <c r="J220" s="493"/>
      <c r="K220" s="154"/>
      <c r="L220" s="512"/>
    </row>
    <row r="221" spans="2:73" ht="12" x14ac:dyDescent="0.4">
      <c r="C221" s="154"/>
      <c r="D221" s="512"/>
      <c r="E221" s="491"/>
      <c r="F221" s="492"/>
      <c r="G221" s="1040" t="str">
        <f t="shared" si="14"/>
        <v>↑</v>
      </c>
      <c r="H221" s="492"/>
      <c r="I221" s="492"/>
      <c r="J221" s="493"/>
      <c r="K221" s="154"/>
      <c r="L221" s="512"/>
    </row>
    <row r="222" spans="2:73" ht="12" x14ac:dyDescent="0.4">
      <c r="B222" s="125">
        <v>15</v>
      </c>
      <c r="C222" s="154"/>
      <c r="D222" s="512"/>
      <c r="E222" s="491"/>
      <c r="F222" s="492"/>
      <c r="G222" s="1040" t="str">
        <f t="shared" si="14"/>
        <v>↑</v>
      </c>
      <c r="H222" s="492"/>
      <c r="I222" s="492"/>
      <c r="J222" s="493"/>
      <c r="K222" s="154"/>
      <c r="L222" s="512"/>
    </row>
    <row r="223" spans="2:73" ht="12" x14ac:dyDescent="0.4">
      <c r="C223" s="154"/>
      <c r="D223" s="512"/>
      <c r="E223" s="491"/>
      <c r="F223" s="492"/>
      <c r="G223" s="1040" t="str">
        <f t="shared" si="14"/>
        <v>↑</v>
      </c>
      <c r="H223" s="492"/>
      <c r="I223" s="492"/>
      <c r="J223" s="493"/>
      <c r="K223" s="154"/>
      <c r="L223" s="512"/>
    </row>
    <row r="224" spans="2:73" ht="12" x14ac:dyDescent="0.4">
      <c r="C224" s="154"/>
      <c r="D224" s="512"/>
      <c r="E224" s="491"/>
      <c r="F224" s="492"/>
      <c r="G224" s="1040" t="str">
        <f t="shared" si="14"/>
        <v>↑</v>
      </c>
      <c r="H224" s="492"/>
      <c r="I224" s="492"/>
      <c r="J224" s="493"/>
      <c r="K224" s="154"/>
      <c r="L224" s="512"/>
    </row>
    <row r="225" spans="2:73" ht="12" x14ac:dyDescent="0.4">
      <c r="C225" s="154"/>
      <c r="D225" s="512"/>
      <c r="E225" s="491"/>
      <c r="F225" s="492"/>
      <c r="G225" s="1040" t="str">
        <f t="shared" si="14"/>
        <v>↑</v>
      </c>
      <c r="H225" s="492"/>
      <c r="I225" s="492"/>
      <c r="J225" s="493"/>
      <c r="K225" s="154"/>
      <c r="L225" s="512"/>
    </row>
    <row r="226" spans="2:73" ht="12" x14ac:dyDescent="0.4">
      <c r="C226" s="154"/>
      <c r="D226" s="512"/>
      <c r="E226" s="491"/>
      <c r="F226" s="495"/>
      <c r="G226" s="1041" t="str">
        <f t="shared" si="14"/>
        <v>↑</v>
      </c>
      <c r="H226" s="495"/>
      <c r="I226" s="495"/>
      <c r="J226" s="493"/>
      <c r="K226" s="154"/>
      <c r="L226" s="512"/>
    </row>
    <row r="227" spans="2:73" x14ac:dyDescent="0.4">
      <c r="B227" s="125">
        <v>20</v>
      </c>
      <c r="C227" s="154"/>
      <c r="D227" s="512"/>
      <c r="E227" s="486"/>
      <c r="F227" s="525" t="s">
        <v>459</v>
      </c>
      <c r="G227" s="519"/>
      <c r="H227" s="519"/>
      <c r="I227" s="522"/>
      <c r="J227" s="486"/>
      <c r="K227" s="154"/>
      <c r="L227" s="512"/>
    </row>
    <row r="228" spans="2:73" ht="12" x14ac:dyDescent="0.4">
      <c r="C228" s="154"/>
      <c r="D228" s="512"/>
      <c r="E228" s="486"/>
      <c r="F228" s="518"/>
      <c r="G228" s="1043" t="str">
        <f>IF($AB$3="ON","↑","")</f>
        <v>↑</v>
      </c>
      <c r="H228" s="517"/>
      <c r="I228" s="523"/>
      <c r="J228" s="486"/>
      <c r="K228" s="154"/>
      <c r="L228" s="512"/>
    </row>
    <row r="229" spans="2:73" ht="12" x14ac:dyDescent="0.4">
      <c r="C229" s="154"/>
      <c r="D229" s="512"/>
      <c r="E229" s="486"/>
      <c r="F229" s="518"/>
      <c r="G229" s="1043" t="str">
        <f>IF($AB$3="ON","↑","")</f>
        <v>↑</v>
      </c>
      <c r="H229" s="517"/>
      <c r="I229" s="523"/>
      <c r="J229" s="486"/>
      <c r="K229" s="154"/>
      <c r="L229" s="512"/>
    </row>
    <row r="230" spans="2:73" ht="12" x14ac:dyDescent="0.4">
      <c r="C230" s="154"/>
      <c r="D230" s="512"/>
      <c r="E230" s="486"/>
      <c r="F230" s="520"/>
      <c r="G230" s="1042" t="str">
        <f>IF($AB$3="ON","↑","")</f>
        <v>↑</v>
      </c>
      <c r="H230" s="521"/>
      <c r="I230" s="524"/>
      <c r="J230" s="486"/>
      <c r="K230" s="154"/>
      <c r="L230" s="512"/>
    </row>
    <row r="231" spans="2:73" ht="12" x14ac:dyDescent="0.4">
      <c r="C231" s="154"/>
      <c r="D231" s="512"/>
      <c r="E231" s="491"/>
      <c r="F231" s="489"/>
      <c r="G231" s="1039" t="str">
        <f>IF($AB$3="ON","↑","")</f>
        <v>↑</v>
      </c>
      <c r="H231" s="489"/>
      <c r="I231" s="489"/>
      <c r="J231" s="493"/>
      <c r="K231" s="154"/>
      <c r="L231" s="512"/>
    </row>
    <row r="232" spans="2:73" ht="12" x14ac:dyDescent="0.4">
      <c r="B232" s="125">
        <v>25</v>
      </c>
      <c r="C232" s="154"/>
      <c r="D232" s="512"/>
      <c r="E232" s="491"/>
      <c r="F232" s="492"/>
      <c r="G232" s="1040" t="str">
        <f>IF($AB$3="ON","↑","")</f>
        <v>↑</v>
      </c>
      <c r="H232" s="492"/>
      <c r="I232" s="492"/>
      <c r="J232" s="493"/>
      <c r="K232" s="154"/>
      <c r="L232" s="512"/>
    </row>
    <row r="233" spans="2:73" x14ac:dyDescent="0.4">
      <c r="C233" s="154"/>
      <c r="D233" s="512"/>
      <c r="E233" s="491"/>
      <c r="F233" s="492"/>
      <c r="G233" s="193" t="s">
        <v>508</v>
      </c>
      <c r="H233" s="492"/>
      <c r="I233" s="492"/>
      <c r="J233" s="493"/>
      <c r="K233" s="154"/>
      <c r="L233" s="512"/>
    </row>
    <row r="234" spans="2:73" ht="11.25" thickBot="1" x14ac:dyDescent="0.45">
      <c r="C234" s="211"/>
      <c r="D234" s="513"/>
      <c r="E234" s="500"/>
      <c r="F234" s="497"/>
      <c r="G234" s="497"/>
      <c r="H234" s="497"/>
      <c r="I234" s="497"/>
      <c r="J234" s="498"/>
      <c r="K234" s="211"/>
      <c r="L234" s="513"/>
    </row>
    <row r="238" spans="2:73" ht="15.75" x14ac:dyDescent="0.4">
      <c r="B238" s="122" t="s">
        <v>699</v>
      </c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3" t="s">
        <v>700</v>
      </c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</row>
    <row r="239" spans="2:73" ht="12" x14ac:dyDescent="0.4">
      <c r="B239" s="124" t="s">
        <v>701</v>
      </c>
    </row>
    <row r="240" spans="2:73" ht="12.75" thickBot="1" x14ac:dyDescent="0.45">
      <c r="C240" s="125">
        <v>0</v>
      </c>
      <c r="H240" s="125">
        <v>5</v>
      </c>
      <c r="M240" s="125">
        <v>10</v>
      </c>
      <c r="R240" s="125">
        <v>15</v>
      </c>
      <c r="W240" s="125">
        <v>20</v>
      </c>
      <c r="AB240" s="125">
        <v>25</v>
      </c>
      <c r="BR240" s="272" t="s">
        <v>310</v>
      </c>
      <c r="BS240" s="272" t="s">
        <v>529</v>
      </c>
      <c r="BT240" s="272" t="s">
        <v>530</v>
      </c>
      <c r="BU240" s="272" t="s">
        <v>531</v>
      </c>
    </row>
    <row r="241" spans="2:73" ht="12" x14ac:dyDescent="0.4">
      <c r="B241" s="125">
        <v>0</v>
      </c>
      <c r="C241" s="539"/>
      <c r="D241" s="540"/>
      <c r="E241" s="540"/>
      <c r="F241" s="540"/>
      <c r="G241" s="540"/>
      <c r="H241" s="540"/>
      <c r="I241" s="540"/>
      <c r="J241" s="540"/>
      <c r="K241" s="540"/>
      <c r="L241" s="540"/>
      <c r="M241" s="540"/>
      <c r="N241" s="540"/>
      <c r="O241" s="540"/>
      <c r="P241" s="540"/>
      <c r="Q241" s="540"/>
      <c r="R241" s="540"/>
      <c r="S241" s="540"/>
      <c r="T241" s="540"/>
      <c r="U241" s="540"/>
      <c r="V241" s="540"/>
      <c r="W241" s="540"/>
      <c r="X241" s="540"/>
      <c r="Y241" s="540"/>
      <c r="Z241" s="540"/>
      <c r="AA241" s="540"/>
      <c r="AB241" s="540"/>
      <c r="AC241" s="540"/>
      <c r="AD241" s="540"/>
      <c r="AE241" s="540"/>
      <c r="AF241" s="543"/>
      <c r="BR241" s="1019" t="s">
        <v>702</v>
      </c>
      <c r="BS241" s="1019" t="s">
        <v>420</v>
      </c>
      <c r="BT241" s="1019" t="s">
        <v>706</v>
      </c>
      <c r="BU241" s="1019" t="s">
        <v>707</v>
      </c>
    </row>
    <row r="242" spans="2:73" ht="12" x14ac:dyDescent="0.4">
      <c r="C242" s="537"/>
      <c r="D242" s="531"/>
      <c r="E242" s="531"/>
      <c r="F242" s="531"/>
      <c r="G242" s="531"/>
      <c r="H242" s="531"/>
      <c r="I242" s="531"/>
      <c r="J242" s="531"/>
      <c r="K242" s="531"/>
      <c r="L242" s="531"/>
      <c r="M242" s="531"/>
      <c r="N242" s="531"/>
      <c r="O242" s="531"/>
      <c r="P242" s="531"/>
      <c r="Q242" s="531"/>
      <c r="R242" s="531"/>
      <c r="S242" s="531"/>
      <c r="T242" s="531"/>
      <c r="U242" s="531"/>
      <c r="V242" s="531"/>
      <c r="W242" s="534"/>
      <c r="X242" s="534"/>
      <c r="Y242" s="534"/>
      <c r="Z242" s="534"/>
      <c r="AA242" s="534"/>
      <c r="AB242" s="534"/>
      <c r="AC242" s="534"/>
      <c r="AD242" s="534"/>
      <c r="AE242" s="534"/>
      <c r="AF242" s="552"/>
      <c r="BR242" s="1019" t="s">
        <v>702</v>
      </c>
      <c r="BS242" s="1019" t="s">
        <v>420</v>
      </c>
      <c r="BT242" s="1019" t="s">
        <v>706</v>
      </c>
      <c r="BU242" s="1019" t="s">
        <v>708</v>
      </c>
    </row>
    <row r="243" spans="2:73" ht="12" x14ac:dyDescent="0.4">
      <c r="C243" s="537"/>
      <c r="D243" s="531"/>
      <c r="E243" s="531"/>
      <c r="F243" s="531"/>
      <c r="G243" s="531"/>
      <c r="H243" s="531"/>
      <c r="I243" s="531"/>
      <c r="J243" s="531"/>
      <c r="K243" s="531"/>
      <c r="L243" s="531"/>
      <c r="M243" s="531"/>
      <c r="N243" s="531"/>
      <c r="O243" s="531"/>
      <c r="P243" s="531"/>
      <c r="Q243" s="531"/>
      <c r="R243" s="531"/>
      <c r="S243" s="531"/>
      <c r="T243" s="531"/>
      <c r="U243" s="531"/>
      <c r="V243" s="532"/>
      <c r="W243" s="555"/>
      <c r="X243" s="561"/>
      <c r="Y243" s="181"/>
      <c r="Z243" s="181"/>
      <c r="AA243" s="181"/>
      <c r="AB243" s="181"/>
      <c r="AC243" s="181"/>
      <c r="AD243" s="181"/>
      <c r="AE243" s="554"/>
      <c r="AF243" s="555"/>
      <c r="BR243" s="1019" t="s">
        <v>703</v>
      </c>
      <c r="BS243" s="1019" t="s">
        <v>428</v>
      </c>
      <c r="BT243" s="1019" t="s">
        <v>706</v>
      </c>
      <c r="BU243" s="1019" t="s">
        <v>709</v>
      </c>
    </row>
    <row r="244" spans="2:73" ht="12" x14ac:dyDescent="0.4">
      <c r="C244" s="537"/>
      <c r="D244" s="531"/>
      <c r="E244" s="531"/>
      <c r="F244" s="531"/>
      <c r="G244" s="531"/>
      <c r="H244" s="531"/>
      <c r="I244" s="531"/>
      <c r="J244" s="531"/>
      <c r="K244" s="531"/>
      <c r="L244" s="531"/>
      <c r="M244" s="531"/>
      <c r="N244" s="531"/>
      <c r="O244" s="531"/>
      <c r="P244" s="531"/>
      <c r="Q244" s="531"/>
      <c r="R244" s="531"/>
      <c r="S244" s="531"/>
      <c r="T244" s="531"/>
      <c r="U244" s="531"/>
      <c r="V244" s="532"/>
      <c r="W244" s="556"/>
      <c r="X244" s="527"/>
      <c r="Y244" s="566"/>
      <c r="Z244" s="566"/>
      <c r="AA244" s="528"/>
      <c r="AB244" s="566"/>
      <c r="AC244" s="566"/>
      <c r="AD244" s="528"/>
      <c r="AE244" s="529"/>
      <c r="AF244" s="556"/>
      <c r="BR244" s="1019" t="s">
        <v>703</v>
      </c>
      <c r="BS244" s="1019" t="s">
        <v>428</v>
      </c>
      <c r="BT244" s="1019" t="s">
        <v>706</v>
      </c>
      <c r="BU244" s="1019" t="s">
        <v>555</v>
      </c>
    </row>
    <row r="245" spans="2:73" ht="12" x14ac:dyDescent="0.4">
      <c r="C245" s="537"/>
      <c r="D245" s="531"/>
      <c r="E245" s="531"/>
      <c r="F245" s="531"/>
      <c r="G245" s="531"/>
      <c r="H245" s="531"/>
      <c r="I245" s="531"/>
      <c r="J245" s="531"/>
      <c r="K245" s="531"/>
      <c r="L245" s="531"/>
      <c r="M245" s="531"/>
      <c r="N245" s="531"/>
      <c r="O245" s="531"/>
      <c r="P245" s="531"/>
      <c r="Q245" s="531"/>
      <c r="R245" s="531"/>
      <c r="S245" s="531"/>
      <c r="T245" s="531"/>
      <c r="U245" s="531"/>
      <c r="V245" s="532"/>
      <c r="W245" s="557"/>
      <c r="X245" s="526"/>
      <c r="Y245" s="573" t="s">
        <v>704</v>
      </c>
      <c r="Z245" s="571"/>
      <c r="AA245" s="526"/>
      <c r="AB245" s="573" t="s">
        <v>704</v>
      </c>
      <c r="AC245" s="571"/>
      <c r="AD245" s="530"/>
      <c r="AE245" s="532"/>
      <c r="AF245" s="557"/>
      <c r="BR245" s="1019" t="s">
        <v>704</v>
      </c>
      <c r="BS245" s="1019" t="s">
        <v>458</v>
      </c>
      <c r="BT245" s="1019" t="s">
        <v>586</v>
      </c>
      <c r="BU245" s="1019" t="s">
        <v>710</v>
      </c>
    </row>
    <row r="246" spans="2:73" ht="12" x14ac:dyDescent="0.4">
      <c r="B246" s="125">
        <v>5</v>
      </c>
      <c r="C246" s="537"/>
      <c r="D246" s="531"/>
      <c r="E246" s="531"/>
      <c r="F246" s="531"/>
      <c r="G246" s="531"/>
      <c r="H246" s="531"/>
      <c r="I246" s="531"/>
      <c r="J246" s="531"/>
      <c r="K246" s="531"/>
      <c r="L246" s="531"/>
      <c r="M246" s="531"/>
      <c r="N246" s="531"/>
      <c r="O246" s="531"/>
      <c r="P246" s="531"/>
      <c r="Q246" s="531"/>
      <c r="R246" s="531"/>
      <c r="S246" s="531"/>
      <c r="T246" s="531"/>
      <c r="U246" s="531"/>
      <c r="V246" s="532"/>
      <c r="W246" s="557"/>
      <c r="X246" s="526"/>
      <c r="Y246" s="569"/>
      <c r="Z246" s="572"/>
      <c r="AA246" s="526"/>
      <c r="AB246" s="569"/>
      <c r="AC246" s="572"/>
      <c r="AD246" s="530"/>
      <c r="AE246" s="532"/>
      <c r="AF246" s="557"/>
      <c r="BR246" s="1019" t="s">
        <v>704</v>
      </c>
      <c r="BS246" s="1019" t="s">
        <v>458</v>
      </c>
      <c r="BT246" s="1019" t="s">
        <v>586</v>
      </c>
      <c r="BU246" s="1019" t="s">
        <v>711</v>
      </c>
    </row>
    <row r="247" spans="2:73" ht="12" x14ac:dyDescent="0.4">
      <c r="C247" s="538"/>
      <c r="D247" s="534"/>
      <c r="E247" s="534"/>
      <c r="F247" s="534"/>
      <c r="G247" s="534"/>
      <c r="H247" s="534"/>
      <c r="I247" s="534"/>
      <c r="J247" s="534"/>
      <c r="K247" s="534"/>
      <c r="L247" s="534"/>
      <c r="M247" s="534"/>
      <c r="N247" s="534"/>
      <c r="O247" s="534"/>
      <c r="P247" s="534"/>
      <c r="Q247" s="534"/>
      <c r="R247" s="534"/>
      <c r="S247" s="534"/>
      <c r="T247" s="534"/>
      <c r="U247" s="534"/>
      <c r="V247" s="535"/>
      <c r="W247" s="557"/>
      <c r="X247" s="530"/>
      <c r="Y247" s="528"/>
      <c r="Z247" s="528"/>
      <c r="AA247" s="531"/>
      <c r="AB247" s="528"/>
      <c r="AC247" s="528"/>
      <c r="AD247" s="531"/>
      <c r="AE247" s="532"/>
      <c r="AF247" s="557"/>
      <c r="BR247" s="1019" t="s">
        <v>704</v>
      </c>
      <c r="BS247" s="1019" t="s">
        <v>458</v>
      </c>
      <c r="BT247" s="1019" t="s">
        <v>586</v>
      </c>
      <c r="BU247" s="1019" t="s">
        <v>712</v>
      </c>
    </row>
    <row r="248" spans="2:73" ht="12" x14ac:dyDescent="0.4">
      <c r="C248" s="545" t="s">
        <v>702</v>
      </c>
      <c r="D248" s="546"/>
      <c r="E248" s="546"/>
      <c r="F248" s="546"/>
      <c r="G248" s="546"/>
      <c r="H248" s="546"/>
      <c r="I248" s="546"/>
      <c r="J248" s="546"/>
      <c r="K248" s="546"/>
      <c r="L248" s="546"/>
      <c r="M248" s="546"/>
      <c r="N248" s="546"/>
      <c r="O248" s="546"/>
      <c r="P248" s="546"/>
      <c r="Q248" s="546"/>
      <c r="R248" s="546"/>
      <c r="S248" s="546"/>
      <c r="T248" s="546"/>
      <c r="U248" s="546"/>
      <c r="V248" s="559"/>
      <c r="W248" s="557"/>
      <c r="X248" s="530"/>
      <c r="Y248" s="531"/>
      <c r="Z248" s="531"/>
      <c r="AA248" s="531"/>
      <c r="AB248" s="531"/>
      <c r="AC248" s="531"/>
      <c r="AD248" s="531"/>
      <c r="AE248" s="532"/>
      <c r="AF248" s="557"/>
      <c r="BR248" s="1019" t="s">
        <v>705</v>
      </c>
      <c r="BS248" s="1019" t="s">
        <v>458</v>
      </c>
      <c r="BT248" s="1019" t="s">
        <v>565</v>
      </c>
      <c r="BU248" s="1019" t="s">
        <v>713</v>
      </c>
    </row>
    <row r="249" spans="2:73" ht="12" x14ac:dyDescent="0.4">
      <c r="C249" s="549" t="s">
        <v>703</v>
      </c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60"/>
      <c r="W249" s="557"/>
      <c r="X249" s="530"/>
      <c r="Y249" s="531"/>
      <c r="Z249" s="531"/>
      <c r="AA249" s="531"/>
      <c r="AB249" s="531"/>
      <c r="AC249" s="531"/>
      <c r="AD249" s="531"/>
      <c r="AE249" s="532"/>
      <c r="AF249" s="557"/>
      <c r="BR249" s="1019" t="s">
        <v>345</v>
      </c>
      <c r="BS249" s="1019" t="s">
        <v>495</v>
      </c>
      <c r="BT249" s="1019" t="s">
        <v>539</v>
      </c>
      <c r="BU249" s="1019" t="s">
        <v>714</v>
      </c>
    </row>
    <row r="250" spans="2:73" ht="12" x14ac:dyDescent="0.4">
      <c r="C250" s="577"/>
      <c r="D250" s="528"/>
      <c r="E250" s="528"/>
      <c r="F250" s="528"/>
      <c r="G250" s="528"/>
      <c r="H250" s="528"/>
      <c r="I250" s="528"/>
      <c r="J250" s="528"/>
      <c r="K250" s="528"/>
      <c r="L250" s="528"/>
      <c r="M250" s="528"/>
      <c r="N250" s="528"/>
      <c r="O250" s="528"/>
      <c r="P250" s="528"/>
      <c r="Q250" s="528"/>
      <c r="R250" s="528"/>
      <c r="S250" s="528"/>
      <c r="T250" s="528"/>
      <c r="U250" s="528"/>
      <c r="V250" s="529"/>
      <c r="W250" s="562"/>
      <c r="X250" s="530"/>
      <c r="Y250" s="531"/>
      <c r="Z250" s="531"/>
      <c r="AA250" s="531"/>
      <c r="AB250" s="531"/>
      <c r="AC250" s="531"/>
      <c r="AD250" s="531"/>
      <c r="AE250" s="532"/>
      <c r="AF250" s="557"/>
      <c r="BR250" s="1019" t="s">
        <v>508</v>
      </c>
      <c r="BS250" s="1019" t="s">
        <v>486</v>
      </c>
      <c r="BT250" s="1019" t="s">
        <v>569</v>
      </c>
      <c r="BU250" s="1019" t="s">
        <v>715</v>
      </c>
    </row>
    <row r="251" spans="2:73" ht="12" x14ac:dyDescent="0.4">
      <c r="B251" s="125">
        <v>10</v>
      </c>
      <c r="C251" s="579" t="s">
        <v>508</v>
      </c>
      <c r="D251" s="1044" t="str">
        <f t="shared" ref="D251:AA251" si="15">IF($AB$3="ON","→","")</f>
        <v>→</v>
      </c>
      <c r="E251" s="1045" t="str">
        <f t="shared" si="15"/>
        <v>→</v>
      </c>
      <c r="F251" s="1045" t="str">
        <f t="shared" si="15"/>
        <v>→</v>
      </c>
      <c r="G251" s="1045" t="str">
        <f t="shared" si="15"/>
        <v>→</v>
      </c>
      <c r="H251" s="1045" t="str">
        <f t="shared" si="15"/>
        <v>→</v>
      </c>
      <c r="I251" s="1045" t="str">
        <f t="shared" si="15"/>
        <v>→</v>
      </c>
      <c r="J251" s="1045" t="str">
        <f t="shared" si="15"/>
        <v>→</v>
      </c>
      <c r="K251" s="1045" t="str">
        <f t="shared" si="15"/>
        <v>→</v>
      </c>
      <c r="L251" s="1045" t="str">
        <f t="shared" si="15"/>
        <v>→</v>
      </c>
      <c r="M251" s="1045" t="str">
        <f t="shared" si="15"/>
        <v>→</v>
      </c>
      <c r="N251" s="1045" t="str">
        <f t="shared" si="15"/>
        <v>→</v>
      </c>
      <c r="O251" s="1045" t="str">
        <f t="shared" si="15"/>
        <v>→</v>
      </c>
      <c r="P251" s="1045" t="str">
        <f t="shared" si="15"/>
        <v>→</v>
      </c>
      <c r="Q251" s="1045" t="str">
        <f t="shared" si="15"/>
        <v>→</v>
      </c>
      <c r="R251" s="1045" t="str">
        <f t="shared" si="15"/>
        <v>→</v>
      </c>
      <c r="S251" s="1045" t="str">
        <f t="shared" si="15"/>
        <v>→</v>
      </c>
      <c r="T251" s="1045" t="str">
        <f t="shared" si="15"/>
        <v>→</v>
      </c>
      <c r="U251" s="1045" t="str">
        <f t="shared" si="15"/>
        <v>→</v>
      </c>
      <c r="V251" s="1045" t="str">
        <f t="shared" si="15"/>
        <v>→</v>
      </c>
      <c r="W251" s="1046" t="str">
        <f t="shared" si="15"/>
        <v>→</v>
      </c>
      <c r="X251" s="1045" t="str">
        <f t="shared" si="15"/>
        <v>→</v>
      </c>
      <c r="Y251" s="1045" t="str">
        <f t="shared" si="15"/>
        <v>→</v>
      </c>
      <c r="Z251" s="1045" t="str">
        <f t="shared" si="15"/>
        <v>→</v>
      </c>
      <c r="AA251" s="1045" t="str">
        <f t="shared" si="15"/>
        <v>→</v>
      </c>
      <c r="AB251" s="268" t="s">
        <v>345</v>
      </c>
      <c r="AC251" s="531"/>
      <c r="AD251" s="531"/>
      <c r="AE251" s="532"/>
      <c r="AF251" s="557"/>
    </row>
    <row r="252" spans="2:73" x14ac:dyDescent="0.4">
      <c r="C252" s="578"/>
      <c r="D252" s="530"/>
      <c r="E252" s="531"/>
      <c r="F252" s="531"/>
      <c r="G252" s="531"/>
      <c r="H252" s="531"/>
      <c r="I252" s="531"/>
      <c r="J252" s="531"/>
      <c r="K252" s="531"/>
      <c r="L252" s="531"/>
      <c r="M252" s="531"/>
      <c r="N252" s="531"/>
      <c r="O252" s="531"/>
      <c r="P252" s="531"/>
      <c r="Q252" s="531"/>
      <c r="R252" s="531"/>
      <c r="S252" s="531"/>
      <c r="T252" s="531"/>
      <c r="U252" s="531"/>
      <c r="V252" s="531"/>
      <c r="W252" s="531"/>
      <c r="X252" s="531"/>
      <c r="Y252" s="531"/>
      <c r="Z252" s="531"/>
      <c r="AA252" s="531"/>
      <c r="AB252" s="531"/>
      <c r="AC252" s="531"/>
      <c r="AD252" s="531"/>
      <c r="AE252" s="532"/>
      <c r="AF252" s="557"/>
    </row>
    <row r="253" spans="2:73" x14ac:dyDescent="0.4">
      <c r="C253" s="577"/>
      <c r="D253" s="534"/>
      <c r="E253" s="534"/>
      <c r="F253" s="534"/>
      <c r="G253" s="534"/>
      <c r="H253" s="534"/>
      <c r="I253" s="534"/>
      <c r="J253" s="534"/>
      <c r="K253" s="534"/>
      <c r="L253" s="534"/>
      <c r="M253" s="534"/>
      <c r="N253" s="534"/>
      <c r="O253" s="534"/>
      <c r="P253" s="534"/>
      <c r="Q253" s="534"/>
      <c r="R253" s="534"/>
      <c r="S253" s="534"/>
      <c r="T253" s="534"/>
      <c r="U253" s="534"/>
      <c r="V253" s="534"/>
      <c r="W253" s="531"/>
      <c r="X253" s="531"/>
      <c r="Y253" s="531"/>
      <c r="Z253" s="531"/>
      <c r="AA253" s="531"/>
      <c r="AB253" s="531"/>
      <c r="AC253" s="531"/>
      <c r="AD253" s="531"/>
      <c r="AE253" s="532"/>
      <c r="AF253" s="557"/>
    </row>
    <row r="254" spans="2:73" x14ac:dyDescent="0.4">
      <c r="C254" s="549" t="s">
        <v>703</v>
      </c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8"/>
      <c r="W254" s="533"/>
      <c r="X254" s="531"/>
      <c r="Y254" s="531"/>
      <c r="Z254" s="531"/>
      <c r="AA254" s="531"/>
      <c r="AB254" s="531"/>
      <c r="AC254" s="531"/>
      <c r="AD254" s="531"/>
      <c r="AE254" s="532"/>
      <c r="AF254" s="557"/>
    </row>
    <row r="255" spans="2:73" x14ac:dyDescent="0.4">
      <c r="C255" s="550" t="s">
        <v>702</v>
      </c>
      <c r="D255" s="551"/>
      <c r="E255" s="551"/>
      <c r="F255" s="551"/>
      <c r="G255" s="551"/>
      <c r="H255" s="551"/>
      <c r="I255" s="551"/>
      <c r="J255" s="551"/>
      <c r="K255" s="551"/>
      <c r="L255" s="551"/>
      <c r="M255" s="551"/>
      <c r="N255" s="551"/>
      <c r="O255" s="551"/>
      <c r="P255" s="551"/>
      <c r="Q255" s="551"/>
      <c r="R255" s="551"/>
      <c r="S255" s="551"/>
      <c r="T255" s="551"/>
      <c r="U255" s="551"/>
      <c r="V255" s="563"/>
      <c r="W255" s="564"/>
      <c r="X255" s="530"/>
      <c r="Y255" s="531"/>
      <c r="Z255" s="531"/>
      <c r="AA255" s="531"/>
      <c r="AB255" s="531"/>
      <c r="AC255" s="534"/>
      <c r="AD255" s="534"/>
      <c r="AE255" s="535"/>
      <c r="AF255" s="557"/>
    </row>
    <row r="256" spans="2:73" x14ac:dyDescent="0.4">
      <c r="B256" s="125">
        <v>15</v>
      </c>
      <c r="C256" s="536"/>
      <c r="D256" s="528"/>
      <c r="E256" s="528"/>
      <c r="F256" s="528"/>
      <c r="G256" s="528"/>
      <c r="H256" s="528"/>
      <c r="I256" s="528"/>
      <c r="J256" s="528"/>
      <c r="K256" s="528"/>
      <c r="L256" s="528"/>
      <c r="M256" s="528"/>
      <c r="N256" s="528"/>
      <c r="O256" s="528"/>
      <c r="P256" s="528"/>
      <c r="Q256" s="528"/>
      <c r="R256" s="528"/>
      <c r="S256" s="528"/>
      <c r="T256" s="528"/>
      <c r="U256" s="528"/>
      <c r="V256" s="529"/>
      <c r="W256" s="557"/>
      <c r="X256" s="530"/>
      <c r="Y256" s="534"/>
      <c r="Z256" s="534"/>
      <c r="AA256" s="531"/>
      <c r="AB256" s="532"/>
      <c r="AC256" s="573" t="s">
        <v>705</v>
      </c>
      <c r="AD256" s="568"/>
      <c r="AE256" s="571"/>
      <c r="AF256" s="576"/>
    </row>
    <row r="257" spans="2:73" x14ac:dyDescent="0.4">
      <c r="C257" s="537"/>
      <c r="D257" s="531"/>
      <c r="E257" s="531"/>
      <c r="F257" s="531"/>
      <c r="G257" s="531"/>
      <c r="H257" s="531"/>
      <c r="I257" s="531"/>
      <c r="J257" s="531"/>
      <c r="K257" s="531"/>
      <c r="L257" s="531"/>
      <c r="M257" s="531"/>
      <c r="N257" s="531"/>
      <c r="O257" s="531"/>
      <c r="P257" s="531"/>
      <c r="Q257" s="531"/>
      <c r="R257" s="531"/>
      <c r="S257" s="531"/>
      <c r="T257" s="531"/>
      <c r="U257" s="531"/>
      <c r="V257" s="532"/>
      <c r="W257" s="557"/>
      <c r="X257" s="526"/>
      <c r="Y257" s="573" t="s">
        <v>704</v>
      </c>
      <c r="Z257" s="571"/>
      <c r="AA257" s="530"/>
      <c r="AB257" s="532"/>
      <c r="AC257" s="569"/>
      <c r="AD257" s="570"/>
      <c r="AE257" s="572"/>
      <c r="AF257" s="576"/>
    </row>
    <row r="258" spans="2:73" x14ac:dyDescent="0.4">
      <c r="C258" s="537"/>
      <c r="D258" s="531"/>
      <c r="E258" s="531"/>
      <c r="F258" s="531"/>
      <c r="G258" s="531"/>
      <c r="H258" s="531"/>
      <c r="I258" s="531"/>
      <c r="J258" s="531"/>
      <c r="K258" s="531"/>
      <c r="L258" s="531"/>
      <c r="M258" s="531"/>
      <c r="N258" s="531"/>
      <c r="O258" s="531"/>
      <c r="P258" s="531"/>
      <c r="Q258" s="531"/>
      <c r="R258" s="531"/>
      <c r="S258" s="531"/>
      <c r="T258" s="531"/>
      <c r="U258" s="531"/>
      <c r="V258" s="532"/>
      <c r="W258" s="557"/>
      <c r="X258" s="526"/>
      <c r="Y258" s="569"/>
      <c r="Z258" s="572"/>
      <c r="AA258" s="530"/>
      <c r="AB258" s="531"/>
      <c r="AC258" s="528"/>
      <c r="AD258" s="528"/>
      <c r="AE258" s="529"/>
      <c r="AF258" s="557"/>
    </row>
    <row r="259" spans="2:73" x14ac:dyDescent="0.4">
      <c r="C259" s="537"/>
      <c r="D259" s="531"/>
      <c r="E259" s="531"/>
      <c r="F259" s="531"/>
      <c r="G259" s="531"/>
      <c r="H259" s="531"/>
      <c r="I259" s="531"/>
      <c r="J259" s="531"/>
      <c r="K259" s="531"/>
      <c r="L259" s="531"/>
      <c r="M259" s="531"/>
      <c r="N259" s="531"/>
      <c r="O259" s="531"/>
      <c r="P259" s="531"/>
      <c r="Q259" s="531"/>
      <c r="R259" s="531"/>
      <c r="S259" s="531"/>
      <c r="T259" s="531"/>
      <c r="U259" s="531"/>
      <c r="V259" s="532"/>
      <c r="W259" s="558"/>
      <c r="X259" s="533"/>
      <c r="Y259" s="566"/>
      <c r="Z259" s="566"/>
      <c r="AA259" s="534"/>
      <c r="AB259" s="534"/>
      <c r="AC259" s="534"/>
      <c r="AD259" s="534"/>
      <c r="AE259" s="535"/>
      <c r="AF259" s="558"/>
    </row>
    <row r="260" spans="2:73" x14ac:dyDescent="0.4">
      <c r="C260" s="537"/>
      <c r="D260" s="531"/>
      <c r="E260" s="531"/>
      <c r="F260" s="531"/>
      <c r="G260" s="531"/>
      <c r="H260" s="531"/>
      <c r="I260" s="531"/>
      <c r="J260" s="531"/>
      <c r="K260" s="531"/>
      <c r="L260" s="531"/>
      <c r="M260" s="531"/>
      <c r="N260" s="531"/>
      <c r="O260" s="531"/>
      <c r="P260" s="531"/>
      <c r="Q260" s="531"/>
      <c r="R260" s="531"/>
      <c r="S260" s="531"/>
      <c r="T260" s="531"/>
      <c r="U260" s="531"/>
      <c r="V260" s="532"/>
      <c r="W260" s="555"/>
      <c r="X260" s="561"/>
      <c r="Y260" s="181"/>
      <c r="Z260" s="181"/>
      <c r="AA260" s="181"/>
      <c r="AB260" s="181"/>
      <c r="AC260" s="181"/>
      <c r="AD260" s="181"/>
      <c r="AE260" s="554"/>
      <c r="AF260" s="555"/>
    </row>
    <row r="261" spans="2:73" x14ac:dyDescent="0.4">
      <c r="B261" s="125">
        <v>20</v>
      </c>
      <c r="C261" s="537"/>
      <c r="D261" s="531"/>
      <c r="E261" s="531"/>
      <c r="F261" s="531"/>
      <c r="G261" s="531"/>
      <c r="H261" s="531"/>
      <c r="I261" s="531"/>
      <c r="J261" s="531"/>
      <c r="K261" s="531"/>
      <c r="L261" s="531"/>
      <c r="M261" s="531"/>
      <c r="N261" s="531"/>
      <c r="O261" s="531"/>
      <c r="P261" s="531"/>
      <c r="Q261" s="531"/>
      <c r="R261" s="531"/>
      <c r="S261" s="531"/>
      <c r="T261" s="531"/>
      <c r="U261" s="531"/>
      <c r="V261" s="531"/>
      <c r="W261" s="528"/>
      <c r="X261" s="528"/>
      <c r="Y261" s="528"/>
      <c r="Z261" s="528"/>
      <c r="AA261" s="528"/>
      <c r="AB261" s="528"/>
      <c r="AC261" s="528"/>
      <c r="AD261" s="528"/>
      <c r="AE261" s="528"/>
      <c r="AF261" s="553"/>
    </row>
    <row r="262" spans="2:73" ht="11.25" thickBot="1" x14ac:dyDescent="0.45">
      <c r="C262" s="541"/>
      <c r="D262" s="542"/>
      <c r="E262" s="542"/>
      <c r="F262" s="542"/>
      <c r="G262" s="542"/>
      <c r="H262" s="542"/>
      <c r="I262" s="542"/>
      <c r="J262" s="542"/>
      <c r="K262" s="542"/>
      <c r="L262" s="542"/>
      <c r="M262" s="542"/>
      <c r="N262" s="542"/>
      <c r="O262" s="542"/>
      <c r="P262" s="542"/>
      <c r="Q262" s="542"/>
      <c r="R262" s="542"/>
      <c r="S262" s="542"/>
      <c r="T262" s="542"/>
      <c r="U262" s="542"/>
      <c r="V262" s="542"/>
      <c r="W262" s="542"/>
      <c r="X262" s="542"/>
      <c r="Y262" s="542"/>
      <c r="Z262" s="542"/>
      <c r="AA262" s="542"/>
      <c r="AB262" s="542"/>
      <c r="AC262" s="542"/>
      <c r="AD262" s="542"/>
      <c r="AE262" s="542"/>
      <c r="AF262" s="544"/>
    </row>
    <row r="266" spans="2:73" ht="15.75" x14ac:dyDescent="0.4">
      <c r="B266" s="122" t="s">
        <v>716</v>
      </c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  <c r="AL266" s="121"/>
      <c r="AM266" s="121"/>
      <c r="AN266" s="121"/>
      <c r="AO266" s="121"/>
      <c r="AP266" s="121"/>
      <c r="AQ266" s="121"/>
      <c r="AR266" s="121"/>
      <c r="AS266" s="121"/>
      <c r="AT266" s="121"/>
      <c r="AU266" s="121"/>
      <c r="AV266" s="121"/>
      <c r="AW266" s="121"/>
      <c r="AX266" s="121"/>
      <c r="AY266" s="121"/>
      <c r="AZ266" s="121"/>
      <c r="BA266" s="121"/>
      <c r="BB266" s="121"/>
      <c r="BC266" s="121"/>
      <c r="BD266" s="121"/>
      <c r="BE266" s="121"/>
      <c r="BF266" s="121"/>
      <c r="BG266" s="121"/>
      <c r="BH266" s="121"/>
      <c r="BI266" s="121"/>
      <c r="BJ266" s="123" t="s">
        <v>717</v>
      </c>
      <c r="BK266" s="121"/>
      <c r="BL266" s="121"/>
      <c r="BM266" s="121"/>
      <c r="BN266" s="121"/>
      <c r="BO266" s="121"/>
      <c r="BP266" s="121"/>
      <c r="BQ266" s="121"/>
      <c r="BR266" s="121"/>
      <c r="BS266" s="121"/>
      <c r="BT266" s="121"/>
      <c r="BU266" s="121"/>
    </row>
    <row r="267" spans="2:73" ht="12" x14ac:dyDescent="0.4">
      <c r="B267" s="124" t="s">
        <v>718</v>
      </c>
    </row>
    <row r="268" spans="2:73" ht="12" x14ac:dyDescent="0.4">
      <c r="C268" s="125">
        <v>0</v>
      </c>
      <c r="H268" s="125">
        <v>5</v>
      </c>
      <c r="M268" s="125">
        <v>10</v>
      </c>
      <c r="R268" s="125">
        <v>15</v>
      </c>
      <c r="W268" s="125">
        <v>20</v>
      </c>
      <c r="AB268" s="125">
        <v>25</v>
      </c>
      <c r="BR268" s="272" t="s">
        <v>310</v>
      </c>
      <c r="BS268" s="272" t="s">
        <v>529</v>
      </c>
      <c r="BT268" s="272" t="s">
        <v>530</v>
      </c>
      <c r="BU268" s="272" t="s">
        <v>531</v>
      </c>
    </row>
    <row r="269" spans="2:73" ht="12" x14ac:dyDescent="0.4">
      <c r="B269" s="125">
        <v>0</v>
      </c>
      <c r="C269" s="506"/>
      <c r="D269" s="499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505"/>
      <c r="P269" s="485" t="s">
        <v>487</v>
      </c>
      <c r="Q269" s="483"/>
      <c r="R269" s="484"/>
      <c r="S269" s="499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505"/>
      <c r="AD269" s="506"/>
      <c r="BR269" s="1019" t="s">
        <v>448</v>
      </c>
      <c r="BS269" s="1019" t="s">
        <v>448</v>
      </c>
      <c r="BT269" s="1019" t="s">
        <v>586</v>
      </c>
      <c r="BU269" s="1019" t="s">
        <v>720</v>
      </c>
    </row>
    <row r="270" spans="2:73" ht="12" x14ac:dyDescent="0.4">
      <c r="C270" s="502"/>
      <c r="D270" s="488"/>
      <c r="E270" s="489"/>
      <c r="F270" s="489"/>
      <c r="G270" s="489"/>
      <c r="H270" s="489"/>
      <c r="I270" s="489"/>
      <c r="J270" s="489"/>
      <c r="K270" s="489"/>
      <c r="L270" s="489"/>
      <c r="M270" s="489"/>
      <c r="N270" s="489"/>
      <c r="O270" s="489"/>
      <c r="P270" s="489"/>
      <c r="Q270" s="1039" t="str">
        <f>IF($AB$3="ON","↑","")</f>
        <v>↑</v>
      </c>
      <c r="R270" s="489"/>
      <c r="S270" s="489"/>
      <c r="T270" s="489"/>
      <c r="U270" s="489"/>
      <c r="V270" s="489"/>
      <c r="W270" s="489"/>
      <c r="X270" s="489"/>
      <c r="Y270" s="489"/>
      <c r="Z270" s="489"/>
      <c r="AA270" s="489"/>
      <c r="AB270" s="489"/>
      <c r="AC270" s="490"/>
      <c r="AD270" s="502"/>
      <c r="BR270" s="1019" t="s">
        <v>448</v>
      </c>
      <c r="BS270" s="1019" t="s">
        <v>448</v>
      </c>
      <c r="BT270" s="1019" t="s">
        <v>586</v>
      </c>
      <c r="BU270" s="1019" t="s">
        <v>721</v>
      </c>
    </row>
    <row r="271" spans="2:73" ht="12" x14ac:dyDescent="0.4">
      <c r="C271" s="503"/>
      <c r="D271" s="491"/>
      <c r="E271" s="492"/>
      <c r="F271" s="492"/>
      <c r="G271" s="495"/>
      <c r="H271" s="495"/>
      <c r="I271" s="492"/>
      <c r="J271" s="492"/>
      <c r="K271" s="492"/>
      <c r="L271" s="492"/>
      <c r="M271" s="492"/>
      <c r="N271" s="492"/>
      <c r="O271" s="492"/>
      <c r="P271" s="492"/>
      <c r="Q271" s="1040" t="str">
        <f>IF($AB$3="ON","↑","")</f>
        <v>↑</v>
      </c>
      <c r="R271" s="492"/>
      <c r="S271" s="492"/>
      <c r="T271" s="492"/>
      <c r="U271" s="492"/>
      <c r="V271" s="492"/>
      <c r="W271" s="492"/>
      <c r="X271" s="492"/>
      <c r="Y271" s="495"/>
      <c r="Z271" s="495"/>
      <c r="AA271" s="492"/>
      <c r="AB271" s="492"/>
      <c r="AC271" s="493"/>
      <c r="AD271" s="503"/>
      <c r="BR271" s="1019" t="s">
        <v>448</v>
      </c>
      <c r="BS271" s="1019" t="s">
        <v>448</v>
      </c>
      <c r="BT271" s="1019" t="s">
        <v>586</v>
      </c>
      <c r="BU271" s="1019" t="s">
        <v>722</v>
      </c>
    </row>
    <row r="272" spans="2:73" ht="12" x14ac:dyDescent="0.4">
      <c r="C272" s="503"/>
      <c r="D272" s="491"/>
      <c r="E272" s="492"/>
      <c r="F272" s="493"/>
      <c r="G272" s="480" t="s">
        <v>448</v>
      </c>
      <c r="H272" s="477"/>
      <c r="I272" s="491"/>
      <c r="J272" s="492"/>
      <c r="K272" s="492"/>
      <c r="L272" s="492"/>
      <c r="M272" s="492"/>
      <c r="N272" s="492"/>
      <c r="O272" s="492"/>
      <c r="P272" s="492"/>
      <c r="Q272" s="1040" t="str">
        <f>IF($AB$3="ON","↑","")</f>
        <v>↑</v>
      </c>
      <c r="R272" s="492"/>
      <c r="S272" s="492"/>
      <c r="T272" s="492"/>
      <c r="U272" s="492"/>
      <c r="V272" s="492"/>
      <c r="W272" s="492"/>
      <c r="X272" s="493"/>
      <c r="Y272" s="480" t="s">
        <v>448</v>
      </c>
      <c r="Z272" s="477"/>
      <c r="AA272" s="491"/>
      <c r="AB272" s="492"/>
      <c r="AC272" s="493"/>
      <c r="AD272" s="503"/>
      <c r="BR272" s="1019" t="s">
        <v>448</v>
      </c>
      <c r="BS272" s="1019" t="s">
        <v>448</v>
      </c>
      <c r="BT272" s="1019" t="s">
        <v>586</v>
      </c>
      <c r="BU272" s="1019" t="s">
        <v>723</v>
      </c>
    </row>
    <row r="273" spans="2:73" ht="12" x14ac:dyDescent="0.4">
      <c r="C273" s="503"/>
      <c r="D273" s="491"/>
      <c r="E273" s="492"/>
      <c r="F273" s="493"/>
      <c r="G273" s="475"/>
      <c r="H273" s="479"/>
      <c r="I273" s="491"/>
      <c r="J273" s="492"/>
      <c r="K273" s="492"/>
      <c r="L273" s="492"/>
      <c r="M273" s="492"/>
      <c r="N273" s="492"/>
      <c r="O273" s="492"/>
      <c r="P273" s="492"/>
      <c r="Q273" s="1040" t="str">
        <f>IF($AB$3="ON","↑","")</f>
        <v>↑</v>
      </c>
      <c r="R273" s="492"/>
      <c r="S273" s="492"/>
      <c r="T273" s="492"/>
      <c r="U273" s="492"/>
      <c r="V273" s="492"/>
      <c r="W273" s="492"/>
      <c r="X273" s="493"/>
      <c r="Y273" s="475"/>
      <c r="Z273" s="479"/>
      <c r="AA273" s="491"/>
      <c r="AB273" s="492"/>
      <c r="AC273" s="493"/>
      <c r="AD273" s="503"/>
      <c r="BR273" s="1019" t="s">
        <v>332</v>
      </c>
      <c r="BS273" s="1019" t="s">
        <v>490</v>
      </c>
      <c r="BT273" s="1019" t="s">
        <v>539</v>
      </c>
      <c r="BU273" s="1019" t="s">
        <v>724</v>
      </c>
    </row>
    <row r="274" spans="2:73" ht="12" x14ac:dyDescent="0.4">
      <c r="B274" s="125">
        <v>5</v>
      </c>
      <c r="C274" s="503"/>
      <c r="D274" s="491"/>
      <c r="E274" s="492"/>
      <c r="F274" s="492"/>
      <c r="G274" s="489"/>
      <c r="H274" s="489"/>
      <c r="I274" s="492"/>
      <c r="J274" s="492"/>
      <c r="K274" s="492"/>
      <c r="L274" s="492"/>
      <c r="M274" s="492"/>
      <c r="N274" s="492"/>
      <c r="O274" s="492"/>
      <c r="P274" s="492"/>
      <c r="Q274" s="580" t="s">
        <v>332</v>
      </c>
      <c r="R274" s="492"/>
      <c r="S274" s="492"/>
      <c r="T274" s="492"/>
      <c r="U274" s="492"/>
      <c r="V274" s="492"/>
      <c r="W274" s="492"/>
      <c r="X274" s="492"/>
      <c r="Y274" s="489"/>
      <c r="Z274" s="489"/>
      <c r="AA274" s="492"/>
      <c r="AB274" s="492"/>
      <c r="AC274" s="493"/>
      <c r="AD274" s="503"/>
      <c r="BR274" s="1019" t="s">
        <v>719</v>
      </c>
      <c r="BS274" s="1019" t="s">
        <v>495</v>
      </c>
      <c r="BT274" s="1019" t="s">
        <v>539</v>
      </c>
      <c r="BU274" s="1019" t="s">
        <v>725</v>
      </c>
    </row>
    <row r="275" spans="2:73" ht="12" x14ac:dyDescent="0.4">
      <c r="C275" s="503"/>
      <c r="D275" s="491"/>
      <c r="E275" s="492"/>
      <c r="F275" s="492"/>
      <c r="G275" s="492"/>
      <c r="H275" s="492"/>
      <c r="I275" s="492"/>
      <c r="J275" s="492"/>
      <c r="K275" s="492"/>
      <c r="L275" s="492"/>
      <c r="M275" s="492"/>
      <c r="N275" s="492"/>
      <c r="O275" s="492"/>
      <c r="P275" s="492"/>
      <c r="Q275" s="1040" t="str">
        <f t="shared" ref="Q275:Q280" si="16">IF($AB$3="ON","↑","")</f>
        <v>↑</v>
      </c>
      <c r="R275" s="492"/>
      <c r="S275" s="492"/>
      <c r="T275" s="492"/>
      <c r="U275" s="492"/>
      <c r="V275" s="492"/>
      <c r="W275" s="492"/>
      <c r="X275" s="492"/>
      <c r="Y275" s="492"/>
      <c r="Z275" s="492"/>
      <c r="AA275" s="492"/>
      <c r="AB275" s="492"/>
      <c r="AC275" s="493"/>
      <c r="AD275" s="503"/>
      <c r="BR275" s="1019" t="s">
        <v>345</v>
      </c>
      <c r="BS275" s="1019" t="s">
        <v>495</v>
      </c>
      <c r="BT275" s="1019" t="s">
        <v>539</v>
      </c>
      <c r="BU275" s="1019" t="s">
        <v>726</v>
      </c>
    </row>
    <row r="276" spans="2:73" ht="12" x14ac:dyDescent="0.4">
      <c r="C276" s="503"/>
      <c r="D276" s="491"/>
      <c r="E276" s="492"/>
      <c r="F276" s="492"/>
      <c r="G276" s="492"/>
      <c r="H276" s="492"/>
      <c r="I276" s="492"/>
      <c r="J276" s="492"/>
      <c r="K276" s="492"/>
      <c r="L276" s="492"/>
      <c r="M276" s="492"/>
      <c r="N276" s="492"/>
      <c r="O276" s="492"/>
      <c r="P276" s="492"/>
      <c r="Q276" s="1040" t="str">
        <f t="shared" si="16"/>
        <v>↑</v>
      </c>
      <c r="R276" s="492"/>
      <c r="S276" s="492"/>
      <c r="T276" s="492"/>
      <c r="U276" s="492"/>
      <c r="V276" s="492"/>
      <c r="W276" s="492"/>
      <c r="X276" s="492"/>
      <c r="Y276" s="492"/>
      <c r="Z276" s="492"/>
      <c r="AA276" s="492"/>
      <c r="AB276" s="492"/>
      <c r="AC276" s="493"/>
      <c r="AD276" s="503"/>
      <c r="BR276" s="1019" t="s">
        <v>487</v>
      </c>
      <c r="BS276" s="1019" t="s">
        <v>436</v>
      </c>
      <c r="BT276" s="1019" t="s">
        <v>545</v>
      </c>
      <c r="BU276" s="1019" t="s">
        <v>727</v>
      </c>
    </row>
    <row r="277" spans="2:73" ht="12" x14ac:dyDescent="0.4">
      <c r="C277" s="503"/>
      <c r="D277" s="491"/>
      <c r="E277" s="492"/>
      <c r="F277" s="492"/>
      <c r="G277" s="492"/>
      <c r="H277" s="492"/>
      <c r="I277" s="492"/>
      <c r="J277" s="492"/>
      <c r="K277" s="492"/>
      <c r="L277" s="492"/>
      <c r="M277" s="492"/>
      <c r="N277" s="492"/>
      <c r="O277" s="492"/>
      <c r="P277" s="492"/>
      <c r="Q277" s="1040" t="str">
        <f t="shared" si="16"/>
        <v>↑</v>
      </c>
      <c r="R277" s="492"/>
      <c r="S277" s="492"/>
      <c r="T277" s="492"/>
      <c r="U277" s="492"/>
      <c r="V277" s="492"/>
      <c r="W277" s="492"/>
      <c r="X277" s="492"/>
      <c r="Y277" s="492"/>
      <c r="Z277" s="492"/>
      <c r="AA277" s="492"/>
      <c r="AB277" s="492"/>
      <c r="AC277" s="493"/>
      <c r="AD277" s="503"/>
    </row>
    <row r="278" spans="2:73" ht="12" x14ac:dyDescent="0.4">
      <c r="C278" s="503"/>
      <c r="D278" s="491"/>
      <c r="E278" s="492"/>
      <c r="F278" s="492"/>
      <c r="G278" s="492"/>
      <c r="H278" s="492"/>
      <c r="I278" s="492"/>
      <c r="J278" s="492"/>
      <c r="K278" s="492"/>
      <c r="L278" s="492"/>
      <c r="M278" s="492"/>
      <c r="N278" s="492"/>
      <c r="O278" s="492"/>
      <c r="P278" s="492"/>
      <c r="Q278" s="1040" t="str">
        <f t="shared" si="16"/>
        <v>↑</v>
      </c>
      <c r="R278" s="492"/>
      <c r="S278" s="492"/>
      <c r="T278" s="492"/>
      <c r="U278" s="492"/>
      <c r="V278" s="492"/>
      <c r="W278" s="492"/>
      <c r="X278" s="492"/>
      <c r="Y278" s="492"/>
      <c r="Z278" s="492"/>
      <c r="AA278" s="492"/>
      <c r="AB278" s="492"/>
      <c r="AC278" s="493"/>
      <c r="AD278" s="503"/>
    </row>
    <row r="279" spans="2:73" ht="12" x14ac:dyDescent="0.4">
      <c r="B279" s="125">
        <v>10</v>
      </c>
      <c r="C279" s="503"/>
      <c r="D279" s="491"/>
      <c r="E279" s="492"/>
      <c r="F279" s="492"/>
      <c r="G279" s="492"/>
      <c r="H279" s="492"/>
      <c r="I279" s="492"/>
      <c r="J279" s="492"/>
      <c r="K279" s="492"/>
      <c r="L279" s="492"/>
      <c r="M279" s="492"/>
      <c r="N279" s="492"/>
      <c r="O279" s="492"/>
      <c r="P279" s="492"/>
      <c r="Q279" s="1040" t="str">
        <f t="shared" si="16"/>
        <v>↑</v>
      </c>
      <c r="R279" s="492"/>
      <c r="S279" s="492"/>
      <c r="T279" s="492"/>
      <c r="U279" s="492"/>
      <c r="V279" s="492"/>
      <c r="W279" s="492"/>
      <c r="X279" s="492"/>
      <c r="Y279" s="492"/>
      <c r="Z279" s="492"/>
      <c r="AA279" s="492"/>
      <c r="AB279" s="492"/>
      <c r="AC279" s="493"/>
      <c r="AD279" s="503"/>
    </row>
    <row r="280" spans="2:73" ht="12" x14ac:dyDescent="0.4">
      <c r="C280" s="503"/>
      <c r="D280" s="491"/>
      <c r="E280" s="492"/>
      <c r="F280" s="492"/>
      <c r="G280" s="492"/>
      <c r="H280" s="492"/>
      <c r="I280" s="492"/>
      <c r="J280" s="492"/>
      <c r="K280" s="492"/>
      <c r="L280" s="492"/>
      <c r="M280" s="492"/>
      <c r="N280" s="492"/>
      <c r="O280" s="492"/>
      <c r="P280" s="492"/>
      <c r="Q280" s="1040" t="str">
        <f t="shared" si="16"/>
        <v>↑</v>
      </c>
      <c r="R280" s="492"/>
      <c r="S280" s="492"/>
      <c r="T280" s="492"/>
      <c r="U280" s="492"/>
      <c r="V280" s="492"/>
      <c r="W280" s="492"/>
      <c r="X280" s="492"/>
      <c r="Y280" s="492"/>
      <c r="Z280" s="492"/>
      <c r="AA280" s="492"/>
      <c r="AB280" s="492"/>
      <c r="AC280" s="493"/>
      <c r="AD280" s="503"/>
    </row>
    <row r="281" spans="2:73" x14ac:dyDescent="0.4">
      <c r="C281" s="503"/>
      <c r="D281" s="491"/>
      <c r="E281" s="492"/>
      <c r="F281" s="492"/>
      <c r="G281" s="495"/>
      <c r="H281" s="495"/>
      <c r="I281" s="492"/>
      <c r="J281" s="492"/>
      <c r="K281" s="492"/>
      <c r="L281" s="492"/>
      <c r="M281" s="492"/>
      <c r="N281" s="492"/>
      <c r="O281" s="492"/>
      <c r="P281" s="492"/>
      <c r="Q281" s="268" t="s">
        <v>719</v>
      </c>
      <c r="R281" s="268" t="s">
        <v>345</v>
      </c>
      <c r="S281" s="492"/>
      <c r="T281" s="492"/>
      <c r="U281" s="492"/>
      <c r="V281" s="492"/>
      <c r="W281" s="492"/>
      <c r="X281" s="492"/>
      <c r="Y281" s="495"/>
      <c r="Z281" s="495"/>
      <c r="AA281" s="492"/>
      <c r="AB281" s="492"/>
      <c r="AC281" s="493"/>
      <c r="AD281" s="503"/>
    </row>
    <row r="282" spans="2:73" x14ac:dyDescent="0.4">
      <c r="C282" s="503"/>
      <c r="D282" s="491"/>
      <c r="E282" s="492"/>
      <c r="F282" s="493"/>
      <c r="G282" s="480" t="s">
        <v>448</v>
      </c>
      <c r="H282" s="477"/>
      <c r="I282" s="491"/>
      <c r="J282" s="492"/>
      <c r="K282" s="492"/>
      <c r="L282" s="492"/>
      <c r="M282" s="492"/>
      <c r="N282" s="492"/>
      <c r="O282" s="492"/>
      <c r="P282" s="492"/>
      <c r="Q282" s="492"/>
      <c r="R282" s="492"/>
      <c r="S282" s="492"/>
      <c r="T282" s="492"/>
      <c r="U282" s="492"/>
      <c r="V282" s="492"/>
      <c r="W282" s="492"/>
      <c r="X282" s="493"/>
      <c r="Y282" s="480" t="s">
        <v>448</v>
      </c>
      <c r="Z282" s="477"/>
      <c r="AA282" s="491"/>
      <c r="AB282" s="492"/>
      <c r="AC282" s="493"/>
      <c r="AD282" s="503"/>
    </row>
    <row r="283" spans="2:73" x14ac:dyDescent="0.4">
      <c r="C283" s="503"/>
      <c r="D283" s="491"/>
      <c r="E283" s="492"/>
      <c r="F283" s="493"/>
      <c r="G283" s="475"/>
      <c r="H283" s="479"/>
      <c r="I283" s="491"/>
      <c r="J283" s="492"/>
      <c r="K283" s="492"/>
      <c r="L283" s="492"/>
      <c r="M283" s="492"/>
      <c r="N283" s="492"/>
      <c r="O283" s="492"/>
      <c r="P283" s="492"/>
      <c r="Q283" s="492"/>
      <c r="R283" s="492"/>
      <c r="S283" s="492"/>
      <c r="T283" s="492"/>
      <c r="U283" s="492"/>
      <c r="V283" s="492"/>
      <c r="W283" s="492"/>
      <c r="X283" s="493"/>
      <c r="Y283" s="475"/>
      <c r="Z283" s="479"/>
      <c r="AA283" s="491"/>
      <c r="AB283" s="492"/>
      <c r="AC283" s="493"/>
      <c r="AD283" s="503"/>
    </row>
    <row r="284" spans="2:73" x14ac:dyDescent="0.4">
      <c r="B284" s="125">
        <v>15</v>
      </c>
      <c r="C284" s="503"/>
      <c r="D284" s="491"/>
      <c r="E284" s="492"/>
      <c r="F284" s="492"/>
      <c r="G284" s="489"/>
      <c r="H284" s="489"/>
      <c r="I284" s="492"/>
      <c r="J284" s="492"/>
      <c r="K284" s="492"/>
      <c r="L284" s="492"/>
      <c r="M284" s="492"/>
      <c r="N284" s="492"/>
      <c r="O284" s="492"/>
      <c r="P284" s="492"/>
      <c r="Q284" s="492"/>
      <c r="R284" s="492"/>
      <c r="S284" s="492"/>
      <c r="T284" s="492"/>
      <c r="U284" s="492"/>
      <c r="V284" s="492"/>
      <c r="W284" s="492"/>
      <c r="X284" s="492"/>
      <c r="Y284" s="489"/>
      <c r="Z284" s="489"/>
      <c r="AA284" s="492"/>
      <c r="AB284" s="492"/>
      <c r="AC284" s="493"/>
      <c r="AD284" s="503"/>
    </row>
    <row r="285" spans="2:73" x14ac:dyDescent="0.4">
      <c r="C285" s="507"/>
      <c r="D285" s="494"/>
      <c r="E285" s="495"/>
      <c r="F285" s="495"/>
      <c r="G285" s="495"/>
      <c r="H285" s="495"/>
      <c r="I285" s="495"/>
      <c r="J285" s="495"/>
      <c r="K285" s="495"/>
      <c r="L285" s="495"/>
      <c r="M285" s="495"/>
      <c r="N285" s="495"/>
      <c r="O285" s="495"/>
      <c r="P285" s="495"/>
      <c r="Q285" s="495"/>
      <c r="R285" s="495"/>
      <c r="S285" s="495"/>
      <c r="T285" s="495"/>
      <c r="U285" s="495"/>
      <c r="V285" s="495"/>
      <c r="W285" s="495"/>
      <c r="X285" s="495"/>
      <c r="Y285" s="495"/>
      <c r="Z285" s="495"/>
      <c r="AA285" s="495"/>
      <c r="AB285" s="495"/>
      <c r="AC285" s="496"/>
      <c r="AD285" s="507"/>
    </row>
    <row r="286" spans="2:73" x14ac:dyDescent="0.4">
      <c r="C286" s="506"/>
      <c r="D286" s="499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505"/>
      <c r="AD286" s="506"/>
    </row>
  </sheetData>
  <mergeCells count="1">
    <mergeCell ref="AB3:AD3"/>
  </mergeCells>
  <phoneticPr fontId="2"/>
  <dataValidations count="1">
    <dataValidation type="list" allowBlank="1" showInputMessage="1" showErrorMessage="1" sqref="AB3:AD3" xr:uid="{2EA760AC-2E14-4BC6-BD6A-7AC7E6D287F6}">
      <formula1>"ON,OFF"</formula1>
    </dataValidation>
  </dataValidations>
  <hyperlinks>
    <hyperlink ref="BJ21" r:id="rId1" xr:uid="{DCC57D7F-3415-40E3-9537-C8EAB6E858F0}"/>
    <hyperlink ref="BJ58" r:id="rId2" xr:uid="{0400F0C4-7F43-48FD-8419-80F4A42A0FDA}"/>
    <hyperlink ref="BJ86" r:id="rId3" xr:uid="{7619B5DB-8F00-417A-B351-A688CA28F9CD}"/>
    <hyperlink ref="BJ108" r:id="rId4" xr:uid="{E03C8D57-DD9C-4B11-A350-3FF70DEBE76B}"/>
    <hyperlink ref="BJ136" r:id="rId5" xr:uid="{508F3F5C-17C5-4D4A-9771-1BD211695C95}"/>
    <hyperlink ref="BJ152" r:id="rId6" xr:uid="{C69515B1-FA9D-4CDA-8063-4D4132E1D5D1}"/>
    <hyperlink ref="BJ180" r:id="rId7" xr:uid="{7E25ACFB-1DAD-45B7-84CE-F278FFF45BFD}"/>
    <hyperlink ref="BJ204" r:id="rId8" xr:uid="{00BE467D-13AE-4618-A5DD-4269ECD32BE5}"/>
    <hyperlink ref="BJ238" r:id="rId9" xr:uid="{42868D5B-1329-4F8B-9E5D-248EA834AC35}"/>
    <hyperlink ref="BJ266" r:id="rId10" xr:uid="{02AA6283-045F-4D77-8612-5288446BB0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69BE-6712-46A1-A29E-97771C568AE7}">
  <dimension ref="B1:BU849"/>
  <sheetViews>
    <sheetView showGridLines="0" topLeftCell="A543" zoomScale="85" zoomScaleNormal="85" workbookViewId="0">
      <selection activeCell="X317" sqref="X317"/>
    </sheetView>
  </sheetViews>
  <sheetFormatPr defaultRowHeight="10.5" x14ac:dyDescent="0.4"/>
  <cols>
    <col min="1" max="69" width="2.75" style="41" customWidth="1"/>
    <col min="70" max="73" width="14.625" style="41" customWidth="1"/>
    <col min="74" max="16384" width="9" style="41"/>
  </cols>
  <sheetData>
    <row r="1" spans="2:73" ht="21" x14ac:dyDescent="0.4">
      <c r="B1" s="42" t="s">
        <v>728</v>
      </c>
    </row>
    <row r="2" spans="2:73" ht="12.75" thickBot="1" x14ac:dyDescent="0.45">
      <c r="B2" s="43" t="s">
        <v>404</v>
      </c>
    </row>
    <row r="3" spans="2:73" ht="16.5" thickBot="1" x14ac:dyDescent="0.45">
      <c r="B3" s="996" t="s">
        <v>1103</v>
      </c>
      <c r="AB3" s="1096" t="s">
        <v>1104</v>
      </c>
      <c r="AC3" s="1097"/>
      <c r="AD3" s="1098"/>
    </row>
    <row r="4" spans="2:73" ht="14.25" x14ac:dyDescent="0.4">
      <c r="B4" s="44" t="s">
        <v>405</v>
      </c>
    </row>
    <row r="5" spans="2:73" ht="12" x14ac:dyDescent="0.4">
      <c r="B5" s="45"/>
      <c r="C5" s="46" t="s">
        <v>406</v>
      </c>
      <c r="L5" s="47"/>
      <c r="M5" s="46" t="s">
        <v>407</v>
      </c>
      <c r="V5" s="48"/>
      <c r="W5" s="46" t="s">
        <v>408</v>
      </c>
      <c r="AF5" s="49"/>
      <c r="AG5" s="46" t="s">
        <v>409</v>
      </c>
      <c r="AP5" s="50"/>
      <c r="AQ5" s="46" t="s">
        <v>410</v>
      </c>
      <c r="AZ5" s="51"/>
      <c r="BA5" s="46" t="s">
        <v>411</v>
      </c>
      <c r="BJ5" s="52"/>
      <c r="BK5" s="46" t="s">
        <v>412</v>
      </c>
      <c r="BT5" s="53"/>
      <c r="BU5" s="46" t="s">
        <v>413</v>
      </c>
    </row>
    <row r="6" spans="2:73" ht="12" x14ac:dyDescent="0.4">
      <c r="B6" s="54"/>
      <c r="C6" s="46" t="s">
        <v>414</v>
      </c>
      <c r="L6" s="55"/>
      <c r="M6" s="46" t="s">
        <v>415</v>
      </c>
      <c r="V6" s="56"/>
      <c r="W6" s="46" t="s">
        <v>416</v>
      </c>
      <c r="AF6" s="57"/>
      <c r="AG6" s="46" t="s">
        <v>417</v>
      </c>
      <c r="AP6" s="58"/>
      <c r="AQ6" s="46" t="s">
        <v>418</v>
      </c>
      <c r="AZ6" s="59"/>
      <c r="BA6" s="46" t="s">
        <v>419</v>
      </c>
      <c r="BJ6" s="60"/>
      <c r="BK6" s="46" t="s">
        <v>420</v>
      </c>
      <c r="BT6" s="61"/>
      <c r="BU6" s="46" t="s">
        <v>421</v>
      </c>
    </row>
    <row r="7" spans="2:73" ht="12" x14ac:dyDescent="0.4">
      <c r="B7" s="62"/>
      <c r="C7" s="46" t="s">
        <v>422</v>
      </c>
      <c r="L7" s="63"/>
      <c r="M7" s="46" t="s">
        <v>423</v>
      </c>
      <c r="V7" s="64"/>
      <c r="W7" s="46" t="s">
        <v>424</v>
      </c>
      <c r="AF7" s="65"/>
      <c r="AG7" s="46" t="s">
        <v>425</v>
      </c>
      <c r="AP7" s="66"/>
      <c r="AQ7" s="46" t="s">
        <v>426</v>
      </c>
      <c r="AZ7" s="67"/>
      <c r="BA7" s="46" t="s">
        <v>427</v>
      </c>
      <c r="BJ7" s="68"/>
      <c r="BK7" s="46" t="s">
        <v>428</v>
      </c>
      <c r="BT7" s="69"/>
      <c r="BU7" s="46" t="s">
        <v>429</v>
      </c>
    </row>
    <row r="8" spans="2:73" ht="12" x14ac:dyDescent="0.4">
      <c r="B8" s="70"/>
      <c r="C8" s="46" t="s">
        <v>430</v>
      </c>
      <c r="L8" s="71"/>
      <c r="M8" s="46" t="s">
        <v>431</v>
      </c>
      <c r="V8" s="72"/>
      <c r="W8" s="46" t="s">
        <v>432</v>
      </c>
      <c r="AF8" s="73"/>
      <c r="AG8" s="46" t="s">
        <v>433</v>
      </c>
      <c r="AP8" s="74"/>
      <c r="AQ8" s="46" t="s">
        <v>434</v>
      </c>
      <c r="AZ8" s="75"/>
      <c r="BA8" s="46" t="s">
        <v>435</v>
      </c>
      <c r="BJ8" s="76"/>
      <c r="BK8" s="46" t="s">
        <v>436</v>
      </c>
      <c r="BT8" s="77"/>
      <c r="BU8" s="46" t="s">
        <v>437</v>
      </c>
    </row>
    <row r="9" spans="2:73" ht="12" x14ac:dyDescent="0.4">
      <c r="B9" s="78"/>
      <c r="C9" s="46" t="s">
        <v>438</v>
      </c>
      <c r="L9" s="79"/>
      <c r="M9" s="46" t="s">
        <v>439</v>
      </c>
      <c r="V9" s="80"/>
      <c r="W9" s="46" t="s">
        <v>440</v>
      </c>
      <c r="AF9" s="81"/>
      <c r="AG9" s="46" t="s">
        <v>441</v>
      </c>
      <c r="AP9" s="60"/>
      <c r="AQ9" s="46" t="s">
        <v>442</v>
      </c>
      <c r="AZ9" s="82"/>
      <c r="BA9" s="46" t="s">
        <v>443</v>
      </c>
      <c r="BJ9" s="83"/>
      <c r="BK9" s="46" t="s">
        <v>444</v>
      </c>
      <c r="BT9" s="84"/>
      <c r="BU9" s="46" t="s">
        <v>445</v>
      </c>
    </row>
    <row r="10" spans="2:73" ht="12" x14ac:dyDescent="0.4">
      <c r="B10" s="85"/>
      <c r="C10" s="46" t="s">
        <v>446</v>
      </c>
      <c r="L10" s="86"/>
      <c r="M10" s="46" t="s">
        <v>447</v>
      </c>
      <c r="V10" s="67"/>
      <c r="W10" s="46" t="s">
        <v>448</v>
      </c>
      <c r="AF10" s="87"/>
      <c r="AG10" s="46" t="s">
        <v>449</v>
      </c>
      <c r="AP10" s="88"/>
      <c r="AQ10" s="46" t="s">
        <v>450</v>
      </c>
      <c r="AZ10" s="89"/>
      <c r="BA10" s="46" t="s">
        <v>451</v>
      </c>
      <c r="BJ10" s="69"/>
      <c r="BK10" s="46" t="s">
        <v>452</v>
      </c>
      <c r="BT10" s="90"/>
      <c r="BU10" s="46" t="s">
        <v>453</v>
      </c>
    </row>
    <row r="11" spans="2:73" ht="12" x14ac:dyDescent="0.4">
      <c r="B11" s="91"/>
      <c r="C11" s="46" t="s">
        <v>454</v>
      </c>
      <c r="L11" s="77"/>
      <c r="M11" s="46" t="s">
        <v>455</v>
      </c>
      <c r="V11" s="71"/>
      <c r="W11" s="46" t="s">
        <v>456</v>
      </c>
      <c r="AF11" s="92"/>
      <c r="AG11" s="46" t="s">
        <v>457</v>
      </c>
      <c r="AP11" s="48"/>
      <c r="AQ11" s="46" t="s">
        <v>458</v>
      </c>
      <c r="AZ11" s="93"/>
      <c r="BA11" s="46" t="s">
        <v>459</v>
      </c>
      <c r="BJ11" s="94"/>
      <c r="BK11" s="46" t="s">
        <v>460</v>
      </c>
      <c r="BT11" s="95"/>
      <c r="BU11" s="46" t="s">
        <v>461</v>
      </c>
    </row>
    <row r="12" spans="2:73" ht="12" x14ac:dyDescent="0.4">
      <c r="B12" s="52"/>
      <c r="C12" s="46" t="s">
        <v>462</v>
      </c>
      <c r="L12" s="96"/>
      <c r="M12" s="46" t="s">
        <v>463</v>
      </c>
      <c r="V12" s="97"/>
      <c r="W12" s="46" t="s">
        <v>464</v>
      </c>
      <c r="AF12" s="98"/>
      <c r="AG12" s="46" t="s">
        <v>465</v>
      </c>
      <c r="AP12" s="60"/>
      <c r="AQ12" s="46" t="s">
        <v>466</v>
      </c>
      <c r="AZ12" s="99"/>
      <c r="BA12" s="46" t="s">
        <v>467</v>
      </c>
      <c r="BJ12" s="100"/>
      <c r="BK12" s="46" t="s">
        <v>468</v>
      </c>
      <c r="BT12" s="101"/>
      <c r="BU12" s="46" t="s">
        <v>469</v>
      </c>
    </row>
    <row r="13" spans="2:73" ht="12" x14ac:dyDescent="0.4">
      <c r="B13" s="102"/>
      <c r="C13" s="46" t="s">
        <v>470</v>
      </c>
      <c r="L13" s="103"/>
      <c r="M13" s="46" t="s">
        <v>471</v>
      </c>
      <c r="V13" s="91"/>
      <c r="W13" s="46" t="s">
        <v>472</v>
      </c>
      <c r="AF13" s="104"/>
      <c r="AG13" s="46" t="s">
        <v>473</v>
      </c>
      <c r="AP13" s="69"/>
      <c r="AQ13" s="46" t="s">
        <v>474</v>
      </c>
      <c r="AZ13" s="105"/>
      <c r="BA13" s="46" t="s">
        <v>475</v>
      </c>
      <c r="BJ13" s="106"/>
      <c r="BK13" s="46" t="s">
        <v>476</v>
      </c>
      <c r="BT13" s="107"/>
      <c r="BU13" s="46" t="s">
        <v>477</v>
      </c>
    </row>
    <row r="14" spans="2:73" ht="12" x14ac:dyDescent="0.4">
      <c r="B14" s="47"/>
      <c r="C14" s="46" t="s">
        <v>478</v>
      </c>
      <c r="L14" s="108"/>
      <c r="M14" s="46" t="s">
        <v>479</v>
      </c>
      <c r="V14" s="109"/>
      <c r="W14" s="46" t="s">
        <v>480</v>
      </c>
      <c r="AF14" s="110"/>
      <c r="AG14" s="46" t="s">
        <v>481</v>
      </c>
      <c r="AP14" s="111"/>
      <c r="AQ14" s="46" t="s">
        <v>482</v>
      </c>
      <c r="AZ14" s="112"/>
      <c r="BA14" s="46" t="s">
        <v>483</v>
      </c>
      <c r="BJ14" s="113"/>
      <c r="BK14" s="46" t="s">
        <v>484</v>
      </c>
      <c r="BT14" s="72"/>
      <c r="BU14" s="46" t="s">
        <v>485</v>
      </c>
    </row>
    <row r="15" spans="2:73" ht="12" x14ac:dyDescent="0.4">
      <c r="B15" s="114"/>
      <c r="C15" s="46" t="s">
        <v>486</v>
      </c>
      <c r="L15" s="115"/>
      <c r="M15" s="46" t="s">
        <v>487</v>
      </c>
      <c r="V15" s="99"/>
      <c r="W15" s="46" t="s">
        <v>96</v>
      </c>
      <c r="AF15" s="99"/>
      <c r="AG15" s="46" t="s">
        <v>488</v>
      </c>
      <c r="AP15" s="79"/>
      <c r="AQ15" s="46" t="s">
        <v>320</v>
      </c>
      <c r="AZ15" s="79"/>
      <c r="BA15" s="46" t="s">
        <v>489</v>
      </c>
      <c r="BJ15" s="116"/>
      <c r="BK15" s="46" t="s">
        <v>323</v>
      </c>
      <c r="BT15" s="117"/>
      <c r="BU15" s="46" t="s">
        <v>490</v>
      </c>
    </row>
    <row r="16" spans="2:73" ht="12" x14ac:dyDescent="0.4">
      <c r="B16" s="62"/>
      <c r="C16" s="46" t="s">
        <v>491</v>
      </c>
      <c r="L16" s="96"/>
      <c r="M16" s="46" t="s">
        <v>492</v>
      </c>
      <c r="V16" s="103"/>
      <c r="W16" s="46" t="s">
        <v>493</v>
      </c>
      <c r="AF16" s="118"/>
      <c r="AG16" s="46" t="s">
        <v>494</v>
      </c>
      <c r="AP16" s="119"/>
      <c r="AQ16" s="46" t="s">
        <v>353</v>
      </c>
      <c r="AZ16" s="56"/>
      <c r="BA16" s="46" t="s">
        <v>495</v>
      </c>
      <c r="BJ16" s="120"/>
      <c r="BK16" s="46" t="s">
        <v>496</v>
      </c>
      <c r="BT16" s="60"/>
      <c r="BU16" s="46" t="s">
        <v>497</v>
      </c>
    </row>
    <row r="18" spans="2:73" ht="12" x14ac:dyDescent="0.4">
      <c r="B18" s="997" t="s">
        <v>628</v>
      </c>
      <c r="C18" s="46" t="s">
        <v>1105</v>
      </c>
    </row>
    <row r="21" spans="2:73" ht="15.75" x14ac:dyDescent="0.4">
      <c r="B21" s="122" t="s">
        <v>729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3" t="s">
        <v>730</v>
      </c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</row>
    <row r="22" spans="2:73" ht="12" x14ac:dyDescent="0.4">
      <c r="B22" s="124" t="s">
        <v>731</v>
      </c>
    </row>
    <row r="23" spans="2:73" ht="12.75" thickBot="1" x14ac:dyDescent="0.45">
      <c r="C23" s="125">
        <v>0</v>
      </c>
      <c r="H23" s="125">
        <v>5</v>
      </c>
      <c r="M23" s="125">
        <v>10</v>
      </c>
      <c r="BR23" s="272" t="s">
        <v>310</v>
      </c>
      <c r="BS23" s="272" t="s">
        <v>529</v>
      </c>
      <c r="BT23" s="272" t="s">
        <v>530</v>
      </c>
      <c r="BU23" s="272" t="s">
        <v>531</v>
      </c>
    </row>
    <row r="24" spans="2:73" ht="12" x14ac:dyDescent="0.4">
      <c r="B24" s="125">
        <v>0</v>
      </c>
      <c r="C24" s="583" t="s">
        <v>732</v>
      </c>
      <c r="D24" s="581"/>
      <c r="E24" s="138"/>
      <c r="F24" s="139"/>
      <c r="G24" s="383" t="s">
        <v>603</v>
      </c>
      <c r="H24" s="373"/>
      <c r="I24" s="373"/>
      <c r="J24" s="380"/>
      <c r="K24" s="581"/>
      <c r="L24" s="138"/>
      <c r="M24" s="139"/>
      <c r="N24" s="583" t="s">
        <v>732</v>
      </c>
      <c r="BR24" s="1019" t="s">
        <v>508</v>
      </c>
      <c r="BS24" s="1019" t="s">
        <v>486</v>
      </c>
      <c r="BT24" s="1019" t="s">
        <v>539</v>
      </c>
      <c r="BU24" s="1019" t="s">
        <v>739</v>
      </c>
    </row>
    <row r="25" spans="2:73" ht="12" x14ac:dyDescent="0.4">
      <c r="C25" s="503"/>
      <c r="D25" s="129"/>
      <c r="E25" s="130"/>
      <c r="F25" s="131"/>
      <c r="G25" s="377"/>
      <c r="H25" s="1051" t="str">
        <f>IF($AB$3="ON","↑","")</f>
        <v>↑</v>
      </c>
      <c r="I25" s="372"/>
      <c r="J25" s="381"/>
      <c r="K25" s="129"/>
      <c r="L25" s="130"/>
      <c r="M25" s="131"/>
      <c r="N25" s="503"/>
      <c r="BR25" s="1019" t="s">
        <v>733</v>
      </c>
      <c r="BS25" s="1019" t="s">
        <v>491</v>
      </c>
      <c r="BT25" s="1019" t="s">
        <v>539</v>
      </c>
      <c r="BU25" s="1019" t="s">
        <v>740</v>
      </c>
    </row>
    <row r="26" spans="2:73" ht="12" x14ac:dyDescent="0.4">
      <c r="C26" s="503"/>
      <c r="D26" s="129"/>
      <c r="E26" s="130"/>
      <c r="F26" s="597" t="s">
        <v>602</v>
      </c>
      <c r="G26" s="377"/>
      <c r="H26" s="372"/>
      <c r="I26" s="372"/>
      <c r="J26" s="381"/>
      <c r="K26" s="129"/>
      <c r="L26" s="130"/>
      <c r="M26" s="131"/>
      <c r="N26" s="503"/>
      <c r="BR26" s="1019" t="s">
        <v>734</v>
      </c>
      <c r="BS26" s="1019" t="s">
        <v>444</v>
      </c>
      <c r="BT26" s="1019" t="s">
        <v>565</v>
      </c>
      <c r="BU26" s="1019" t="s">
        <v>741</v>
      </c>
    </row>
    <row r="27" spans="2:73" ht="12" x14ac:dyDescent="0.4">
      <c r="C27" s="503"/>
      <c r="D27" s="129"/>
      <c r="E27" s="130"/>
      <c r="F27" s="131"/>
      <c r="G27" s="377"/>
      <c r="H27" s="1051" t="str">
        <f>IF($AB$3="ON","↑","")</f>
        <v>↑</v>
      </c>
      <c r="I27" s="372"/>
      <c r="J27" s="381"/>
      <c r="K27" s="129"/>
      <c r="L27" s="130"/>
      <c r="M27" s="131"/>
      <c r="N27" s="503"/>
      <c r="BR27" s="1019" t="s">
        <v>735</v>
      </c>
      <c r="BS27" s="1019" t="s">
        <v>450</v>
      </c>
      <c r="BT27" s="1019" t="s">
        <v>612</v>
      </c>
      <c r="BU27" s="1019" t="s">
        <v>697</v>
      </c>
    </row>
    <row r="28" spans="2:73" ht="12" x14ac:dyDescent="0.4">
      <c r="C28" s="503"/>
      <c r="D28" s="129"/>
      <c r="E28" s="130"/>
      <c r="F28" s="131"/>
      <c r="G28" s="377"/>
      <c r="H28" s="1051" t="str">
        <f>IF($AB$3="ON","↑","")</f>
        <v>↑</v>
      </c>
      <c r="I28" s="372"/>
      <c r="J28" s="381"/>
      <c r="K28" s="129"/>
      <c r="L28" s="130"/>
      <c r="M28" s="131"/>
      <c r="N28" s="503"/>
      <c r="BR28" s="1019" t="s">
        <v>736</v>
      </c>
      <c r="BS28" s="1019" t="s">
        <v>468</v>
      </c>
      <c r="BT28" s="1019" t="s">
        <v>532</v>
      </c>
      <c r="BU28" s="1019" t="s">
        <v>742</v>
      </c>
    </row>
    <row r="29" spans="2:73" ht="12" x14ac:dyDescent="0.4">
      <c r="B29" s="125">
        <v>5</v>
      </c>
      <c r="C29" s="503"/>
      <c r="D29" s="129"/>
      <c r="E29" s="130"/>
      <c r="F29" s="131"/>
      <c r="G29" s="378"/>
      <c r="H29" s="1050" t="str">
        <f>IF($AB$3="ON","↑","")</f>
        <v>↑</v>
      </c>
      <c r="I29" s="379"/>
      <c r="J29" s="382"/>
      <c r="K29" s="129"/>
      <c r="L29" s="130"/>
      <c r="M29" s="131"/>
      <c r="N29" s="503"/>
      <c r="BR29" s="1019" t="s">
        <v>738</v>
      </c>
      <c r="BS29" s="1019" t="s">
        <v>437</v>
      </c>
      <c r="BT29" s="1019" t="s">
        <v>695</v>
      </c>
      <c r="BU29" s="1019" t="s">
        <v>743</v>
      </c>
    </row>
    <row r="30" spans="2:73" ht="12" x14ac:dyDescent="0.4">
      <c r="C30" s="503"/>
      <c r="D30" s="129"/>
      <c r="E30" s="130"/>
      <c r="F30" s="130"/>
      <c r="G30" s="127"/>
      <c r="H30" s="1047" t="str">
        <f>IF($AB$3="ON","↑","")</f>
        <v>↑</v>
      </c>
      <c r="I30" s="127"/>
      <c r="J30" s="127"/>
      <c r="K30" s="130"/>
      <c r="L30" s="130"/>
      <c r="M30" s="131"/>
      <c r="N30" s="503"/>
      <c r="BR30" s="1019" t="s">
        <v>733</v>
      </c>
      <c r="BS30" s="1019" t="s">
        <v>491</v>
      </c>
      <c r="BT30" s="1019" t="s">
        <v>539</v>
      </c>
      <c r="BU30" s="1019" t="s">
        <v>744</v>
      </c>
    </row>
    <row r="31" spans="2:73" ht="12" x14ac:dyDescent="0.4">
      <c r="C31" s="503"/>
      <c r="D31" s="129"/>
      <c r="E31" s="130"/>
      <c r="F31" s="133"/>
      <c r="G31" s="133"/>
      <c r="H31" s="1031" t="str">
        <f>IF($AB$3="ON","↑","")</f>
        <v>↑</v>
      </c>
      <c r="I31" s="133"/>
      <c r="J31" s="133"/>
      <c r="K31" s="133"/>
      <c r="L31" s="130"/>
      <c r="M31" s="131"/>
      <c r="N31" s="503"/>
      <c r="BR31" s="1019" t="s">
        <v>603</v>
      </c>
      <c r="BS31" s="1019" t="s">
        <v>431</v>
      </c>
      <c r="BT31" s="1019" t="s">
        <v>745</v>
      </c>
      <c r="BU31" s="1019" t="s">
        <v>746</v>
      </c>
    </row>
    <row r="32" spans="2:73" x14ac:dyDescent="0.4">
      <c r="C32" s="503"/>
      <c r="D32" s="129"/>
      <c r="E32" s="131"/>
      <c r="F32" s="603" t="s">
        <v>738</v>
      </c>
      <c r="G32" s="601"/>
      <c r="H32" s="601"/>
      <c r="I32" s="601"/>
      <c r="J32" s="601"/>
      <c r="K32" s="602"/>
      <c r="L32" s="129"/>
      <c r="M32" s="131"/>
      <c r="N32" s="503"/>
    </row>
    <row r="33" spans="2:14" ht="12" x14ac:dyDescent="0.4">
      <c r="C33" s="503"/>
      <c r="D33" s="129"/>
      <c r="E33" s="130"/>
      <c r="F33" s="127"/>
      <c r="G33" s="127"/>
      <c r="H33" s="1047" t="str">
        <f>IF($AB$3="ON","↑","")</f>
        <v>↑</v>
      </c>
      <c r="I33" s="127"/>
      <c r="J33" s="127"/>
      <c r="K33" s="604" t="s">
        <v>733</v>
      </c>
      <c r="L33" s="130"/>
      <c r="M33" s="131"/>
      <c r="N33" s="503"/>
    </row>
    <row r="34" spans="2:14" ht="12" x14ac:dyDescent="0.4">
      <c r="B34" s="125">
        <v>10</v>
      </c>
      <c r="C34" s="503"/>
      <c r="D34" s="129"/>
      <c r="E34" s="130"/>
      <c r="F34" s="130"/>
      <c r="G34" s="130"/>
      <c r="H34" s="999" t="str">
        <f>IF($AB$3="ON","↑","")</f>
        <v>↑</v>
      </c>
      <c r="I34" s="130"/>
      <c r="J34" s="130"/>
      <c r="K34" s="130"/>
      <c r="L34" s="130"/>
      <c r="M34" s="131"/>
      <c r="N34" s="503"/>
    </row>
    <row r="35" spans="2:14" ht="12" x14ac:dyDescent="0.4">
      <c r="C35" s="503"/>
      <c r="D35" s="129"/>
      <c r="E35" s="130"/>
      <c r="F35" s="130"/>
      <c r="G35" s="130"/>
      <c r="H35" s="999" t="str">
        <f>IF($AB$3="ON","↑","")</f>
        <v>↑</v>
      </c>
      <c r="I35" s="130"/>
      <c r="J35" s="130"/>
      <c r="K35" s="130"/>
      <c r="L35" s="130"/>
      <c r="M35" s="131"/>
      <c r="N35" s="503"/>
    </row>
    <row r="36" spans="2:14" ht="12" x14ac:dyDescent="0.4">
      <c r="C36" s="503"/>
      <c r="D36" s="129"/>
      <c r="E36" s="130"/>
      <c r="F36" s="130"/>
      <c r="G36" s="130"/>
      <c r="H36" s="999" t="str">
        <f>IF($AB$3="ON","↑","")</f>
        <v>↑</v>
      </c>
      <c r="I36" s="130"/>
      <c r="J36" s="130"/>
      <c r="K36" s="130"/>
      <c r="L36" s="130"/>
      <c r="M36" s="131"/>
      <c r="N36" s="503"/>
    </row>
    <row r="37" spans="2:14" ht="12" x14ac:dyDescent="0.4">
      <c r="C37" s="503"/>
      <c r="D37" s="129"/>
      <c r="E37" s="130"/>
      <c r="F37" s="130"/>
      <c r="G37" s="133"/>
      <c r="H37" s="1031" t="str">
        <f>IF($AB$3="ON","↑","")</f>
        <v>↑</v>
      </c>
      <c r="I37" s="133"/>
      <c r="J37" s="133"/>
      <c r="K37" s="130"/>
      <c r="L37" s="130"/>
      <c r="M37" s="131"/>
      <c r="N37" s="503"/>
    </row>
    <row r="38" spans="2:14" x14ac:dyDescent="0.4">
      <c r="C38" s="503"/>
      <c r="D38" s="129"/>
      <c r="E38" s="130"/>
      <c r="F38" s="131"/>
      <c r="G38" s="324" t="s">
        <v>736</v>
      </c>
      <c r="H38" s="319"/>
      <c r="I38" s="319"/>
      <c r="J38" s="322"/>
      <c r="K38" s="129"/>
      <c r="L38" s="130"/>
      <c r="M38" s="131"/>
      <c r="N38" s="503"/>
    </row>
    <row r="39" spans="2:14" ht="12" x14ac:dyDescent="0.4">
      <c r="B39" s="125">
        <v>15</v>
      </c>
      <c r="C39" s="503"/>
      <c r="D39" s="129"/>
      <c r="E39" s="130"/>
      <c r="F39" s="131"/>
      <c r="G39" s="318"/>
      <c r="H39" s="1049" t="str">
        <f>IF($AB$3="ON","↑","")</f>
        <v>↑</v>
      </c>
      <c r="I39" s="317"/>
      <c r="J39" s="596"/>
      <c r="K39" s="129"/>
      <c r="L39" s="130"/>
      <c r="M39" s="131"/>
      <c r="N39" s="503"/>
    </row>
    <row r="40" spans="2:14" ht="12" x14ac:dyDescent="0.4">
      <c r="C40" s="503"/>
      <c r="D40" s="129"/>
      <c r="E40" s="130"/>
      <c r="F40" s="131"/>
      <c r="G40" s="318"/>
      <c r="H40" s="1049" t="str">
        <f>IF($AB$3="ON","↑","")</f>
        <v>↑</v>
      </c>
      <c r="I40" s="317"/>
      <c r="J40" s="596"/>
      <c r="K40" s="129"/>
      <c r="L40" s="130"/>
      <c r="M40" s="131"/>
      <c r="N40" s="503"/>
    </row>
    <row r="41" spans="2:14" ht="12" x14ac:dyDescent="0.4">
      <c r="C41" s="503"/>
      <c r="D41" s="129"/>
      <c r="E41" s="130"/>
      <c r="F41" s="131"/>
      <c r="G41" s="320"/>
      <c r="H41" s="1048" t="str">
        <f>IF($AB$3="ON","↑","")</f>
        <v>↑</v>
      </c>
      <c r="I41" s="321"/>
      <c r="J41" s="323"/>
      <c r="K41" s="129"/>
      <c r="L41" s="130"/>
      <c r="M41" s="131"/>
      <c r="N41" s="503"/>
    </row>
    <row r="42" spans="2:14" ht="12" x14ac:dyDescent="0.4">
      <c r="C42" s="503"/>
      <c r="D42" s="129"/>
      <c r="E42" s="130"/>
      <c r="F42" s="130"/>
      <c r="G42" s="127"/>
      <c r="H42" s="1047" t="str">
        <f>IF($AB$3="ON","↑","")</f>
        <v>↑</v>
      </c>
      <c r="I42" s="127"/>
      <c r="J42" s="127"/>
      <c r="K42" s="130"/>
      <c r="L42" s="130"/>
      <c r="M42" s="597" t="s">
        <v>737</v>
      </c>
      <c r="N42" s="503"/>
    </row>
    <row r="43" spans="2:14" ht="12" x14ac:dyDescent="0.4">
      <c r="C43" s="503"/>
      <c r="D43" s="129"/>
      <c r="E43" s="130"/>
      <c r="F43" s="133"/>
      <c r="G43" s="130"/>
      <c r="H43" s="999" t="str">
        <f>IF($AB$3="ON","↑","")</f>
        <v>↑</v>
      </c>
      <c r="I43" s="130"/>
      <c r="J43" s="130"/>
      <c r="K43" s="130"/>
      <c r="L43" s="130"/>
      <c r="M43" s="131"/>
      <c r="N43" s="503"/>
    </row>
    <row r="44" spans="2:14" x14ac:dyDescent="0.4">
      <c r="B44" s="125">
        <v>20</v>
      </c>
      <c r="C44" s="503"/>
      <c r="D44" s="129"/>
      <c r="E44" s="131"/>
      <c r="F44" s="595" t="s">
        <v>735</v>
      </c>
      <c r="G44" s="129"/>
      <c r="H44" s="130"/>
      <c r="I44" s="130"/>
      <c r="J44" s="130"/>
      <c r="K44" s="130"/>
      <c r="L44" s="130"/>
      <c r="M44" s="131"/>
      <c r="N44" s="503"/>
    </row>
    <row r="45" spans="2:14" ht="12" x14ac:dyDescent="0.4">
      <c r="C45" s="503"/>
      <c r="D45" s="129"/>
      <c r="E45" s="131"/>
      <c r="F45" s="593"/>
      <c r="G45" s="129"/>
      <c r="H45" s="999" t="str">
        <f t="shared" ref="H45:H55" si="0">IF($AB$3="ON","↑","")</f>
        <v>↑</v>
      </c>
      <c r="I45" s="130"/>
      <c r="J45" s="130"/>
      <c r="K45" s="130"/>
      <c r="L45" s="130"/>
      <c r="M45" s="131"/>
      <c r="N45" s="503"/>
    </row>
    <row r="46" spans="2:14" ht="12" x14ac:dyDescent="0.4">
      <c r="C46" s="503"/>
      <c r="D46" s="129"/>
      <c r="E46" s="131"/>
      <c r="F46" s="593"/>
      <c r="G46" s="129"/>
      <c r="H46" s="999" t="str">
        <f t="shared" si="0"/>
        <v>↑</v>
      </c>
      <c r="I46" s="130"/>
      <c r="J46" s="130"/>
      <c r="K46" s="130"/>
      <c r="L46" s="130"/>
      <c r="M46" s="131"/>
      <c r="N46" s="503"/>
    </row>
    <row r="47" spans="2:14" ht="12" x14ac:dyDescent="0.4">
      <c r="C47" s="503"/>
      <c r="D47" s="129"/>
      <c r="E47" s="131"/>
      <c r="F47" s="593"/>
      <c r="G47" s="129"/>
      <c r="H47" s="999" t="str">
        <f t="shared" si="0"/>
        <v>↑</v>
      </c>
      <c r="I47" s="130"/>
      <c r="J47" s="130"/>
      <c r="K47" s="133"/>
      <c r="L47" s="133"/>
      <c r="M47" s="134"/>
      <c r="N47" s="503"/>
    </row>
    <row r="48" spans="2:14" ht="12" x14ac:dyDescent="0.4">
      <c r="C48" s="503"/>
      <c r="D48" s="129"/>
      <c r="E48" s="131"/>
      <c r="F48" s="593"/>
      <c r="G48" s="129"/>
      <c r="H48" s="999" t="str">
        <f t="shared" si="0"/>
        <v>↑</v>
      </c>
      <c r="I48" s="130"/>
      <c r="J48" s="131"/>
      <c r="K48" s="589" t="s">
        <v>734</v>
      </c>
      <c r="L48" s="586"/>
      <c r="M48" s="587"/>
      <c r="N48" s="585"/>
    </row>
    <row r="49" spans="2:73" ht="12" x14ac:dyDescent="0.4">
      <c r="B49" s="125">
        <v>25</v>
      </c>
      <c r="C49" s="503"/>
      <c r="D49" s="129"/>
      <c r="E49" s="131"/>
      <c r="F49" s="594"/>
      <c r="G49" s="129"/>
      <c r="H49" s="999" t="str">
        <f t="shared" si="0"/>
        <v>↑</v>
      </c>
      <c r="I49" s="130"/>
      <c r="J49" s="131"/>
      <c r="K49" s="188"/>
      <c r="L49" s="187"/>
      <c r="M49" s="588"/>
      <c r="N49" s="585"/>
    </row>
    <row r="50" spans="2:73" ht="12" x14ac:dyDescent="0.4">
      <c r="C50" s="503"/>
      <c r="D50" s="129"/>
      <c r="E50" s="130"/>
      <c r="F50" s="127"/>
      <c r="G50" s="130"/>
      <c r="H50" s="999" t="str">
        <f t="shared" si="0"/>
        <v>↑</v>
      </c>
      <c r="I50" s="130"/>
      <c r="J50" s="130"/>
      <c r="K50" s="127"/>
      <c r="L50" s="127"/>
      <c r="M50" s="128"/>
      <c r="N50" s="503"/>
    </row>
    <row r="51" spans="2:73" ht="12" x14ac:dyDescent="0.4">
      <c r="C51" s="503"/>
      <c r="D51" s="129"/>
      <c r="E51" s="130"/>
      <c r="F51" s="130"/>
      <c r="G51" s="130"/>
      <c r="H51" s="999" t="str">
        <f t="shared" si="0"/>
        <v>↑</v>
      </c>
      <c r="I51" s="130"/>
      <c r="J51" s="130"/>
      <c r="K51" s="130"/>
      <c r="L51" s="130"/>
      <c r="M51" s="131"/>
      <c r="N51" s="503"/>
    </row>
    <row r="52" spans="2:73" ht="12" x14ac:dyDescent="0.4">
      <c r="C52" s="503"/>
      <c r="D52" s="129"/>
      <c r="E52" s="130"/>
      <c r="F52" s="130"/>
      <c r="G52" s="130"/>
      <c r="H52" s="999" t="str">
        <f t="shared" si="0"/>
        <v>↑</v>
      </c>
      <c r="I52" s="130"/>
      <c r="J52" s="130"/>
      <c r="K52" s="130"/>
      <c r="L52" s="130"/>
      <c r="M52" s="131"/>
      <c r="N52" s="503"/>
    </row>
    <row r="53" spans="2:73" ht="12" x14ac:dyDescent="0.4">
      <c r="C53" s="503"/>
      <c r="D53" s="129"/>
      <c r="E53" s="130"/>
      <c r="F53" s="130"/>
      <c r="G53" s="130"/>
      <c r="H53" s="999" t="str">
        <f t="shared" si="0"/>
        <v>↑</v>
      </c>
      <c r="I53" s="130"/>
      <c r="J53" s="130"/>
      <c r="K53" s="130"/>
      <c r="L53" s="130"/>
      <c r="M53" s="131"/>
      <c r="N53" s="503"/>
    </row>
    <row r="54" spans="2:73" ht="12" x14ac:dyDescent="0.4">
      <c r="B54" s="125">
        <v>30</v>
      </c>
      <c r="C54" s="503"/>
      <c r="D54" s="129"/>
      <c r="E54" s="130"/>
      <c r="F54" s="130"/>
      <c r="G54" s="584" t="s">
        <v>733</v>
      </c>
      <c r="H54" s="999" t="str">
        <f t="shared" si="0"/>
        <v>↑</v>
      </c>
      <c r="I54" s="130"/>
      <c r="J54" s="130"/>
      <c r="K54" s="130"/>
      <c r="L54" s="130"/>
      <c r="M54" s="131"/>
      <c r="N54" s="503"/>
    </row>
    <row r="55" spans="2:73" ht="12" x14ac:dyDescent="0.4">
      <c r="C55" s="503"/>
      <c r="D55" s="129"/>
      <c r="E55" s="130"/>
      <c r="F55" s="130"/>
      <c r="G55" s="130"/>
      <c r="H55" s="999" t="str">
        <f t="shared" si="0"/>
        <v>↑</v>
      </c>
      <c r="I55" s="130"/>
      <c r="J55" s="130"/>
      <c r="K55" s="130"/>
      <c r="L55" s="130"/>
      <c r="M55" s="131"/>
      <c r="N55" s="503"/>
    </row>
    <row r="56" spans="2:73" x14ac:dyDescent="0.4">
      <c r="C56" s="503"/>
      <c r="D56" s="129"/>
      <c r="E56" s="130"/>
      <c r="F56" s="130"/>
      <c r="G56" s="130"/>
      <c r="H56" s="193" t="s">
        <v>508</v>
      </c>
      <c r="I56" s="130"/>
      <c r="J56" s="130"/>
      <c r="K56" s="130"/>
      <c r="L56" s="130"/>
      <c r="M56" s="131"/>
      <c r="N56" s="503"/>
    </row>
    <row r="57" spans="2:73" ht="11.25" thickBot="1" x14ac:dyDescent="0.45">
      <c r="C57" s="504"/>
      <c r="D57" s="582"/>
      <c r="E57" s="140"/>
      <c r="F57" s="140"/>
      <c r="G57" s="140"/>
      <c r="H57" s="140"/>
      <c r="I57" s="140"/>
      <c r="J57" s="140"/>
      <c r="K57" s="140"/>
      <c r="L57" s="140"/>
      <c r="M57" s="141"/>
      <c r="N57" s="504"/>
    </row>
    <row r="61" spans="2:73" ht="15.75" x14ac:dyDescent="0.4">
      <c r="B61" s="122" t="s">
        <v>747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3" t="s">
        <v>748</v>
      </c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</row>
    <row r="63" spans="2:73" ht="12" x14ac:dyDescent="0.4">
      <c r="C63" s="125">
        <v>0</v>
      </c>
      <c r="H63" s="125">
        <v>5</v>
      </c>
      <c r="M63" s="125">
        <v>10</v>
      </c>
      <c r="R63" s="125">
        <v>15</v>
      </c>
      <c r="BR63" s="272" t="s">
        <v>310</v>
      </c>
      <c r="BS63" s="272" t="s">
        <v>529</v>
      </c>
      <c r="BT63" s="272" t="s">
        <v>530</v>
      </c>
      <c r="BU63" s="272" t="s">
        <v>531</v>
      </c>
    </row>
    <row r="64" spans="2:73" ht="12" x14ac:dyDescent="0.4">
      <c r="B64" s="125">
        <v>0</v>
      </c>
      <c r="C64" s="603" t="s">
        <v>749</v>
      </c>
      <c r="D64" s="601"/>
      <c r="E64" s="601"/>
      <c r="F64" s="601"/>
      <c r="G64" s="601"/>
      <c r="H64" s="601"/>
      <c r="I64" s="628"/>
      <c r="J64" s="628"/>
      <c r="K64" s="628"/>
      <c r="L64" s="601"/>
      <c r="M64" s="601"/>
      <c r="N64" s="601"/>
      <c r="O64" s="601"/>
      <c r="P64" s="601"/>
      <c r="Q64" s="601"/>
      <c r="R64" s="602"/>
      <c r="BR64" s="1019" t="s">
        <v>749</v>
      </c>
      <c r="BS64" s="1019" t="s">
        <v>455</v>
      </c>
      <c r="BT64" s="1019" t="s">
        <v>606</v>
      </c>
      <c r="BU64" s="1019" t="s">
        <v>753</v>
      </c>
    </row>
    <row r="65" spans="2:73" ht="12" x14ac:dyDescent="0.4">
      <c r="C65" s="615"/>
      <c r="D65" s="607"/>
      <c r="E65" s="607"/>
      <c r="F65" s="607"/>
      <c r="G65" s="607"/>
      <c r="H65" s="608"/>
      <c r="I65" s="631" t="s">
        <v>182</v>
      </c>
      <c r="J65" s="629"/>
      <c r="K65" s="630"/>
      <c r="L65" s="606"/>
      <c r="M65" s="607"/>
      <c r="N65" s="607"/>
      <c r="O65" s="607"/>
      <c r="P65" s="607"/>
      <c r="Q65" s="607"/>
      <c r="R65" s="626"/>
      <c r="BR65" s="1019" t="s">
        <v>182</v>
      </c>
      <c r="BS65" s="1019" t="s">
        <v>493</v>
      </c>
      <c r="BT65" s="1019" t="s">
        <v>545</v>
      </c>
      <c r="BU65" s="1019" t="s">
        <v>754</v>
      </c>
    </row>
    <row r="66" spans="2:73" ht="12" x14ac:dyDescent="0.4">
      <c r="C66" s="616"/>
      <c r="D66" s="610"/>
      <c r="E66" s="610"/>
      <c r="F66" s="610"/>
      <c r="G66" s="610"/>
      <c r="H66" s="610"/>
      <c r="I66" s="607"/>
      <c r="J66" s="607"/>
      <c r="K66" s="607"/>
      <c r="L66" s="610"/>
      <c r="M66" s="610"/>
      <c r="N66" s="610"/>
      <c r="O66" s="610"/>
      <c r="P66" s="610"/>
      <c r="Q66" s="610"/>
      <c r="R66" s="624"/>
      <c r="BR66" s="1019" t="s">
        <v>750</v>
      </c>
      <c r="BS66" s="1019" t="s">
        <v>477</v>
      </c>
      <c r="BT66" s="1019" t="s">
        <v>539</v>
      </c>
      <c r="BU66" s="1019" t="s">
        <v>755</v>
      </c>
    </row>
    <row r="67" spans="2:73" ht="12" x14ac:dyDescent="0.4">
      <c r="C67" s="616"/>
      <c r="D67" s="610"/>
      <c r="E67" s="632" t="s">
        <v>750</v>
      </c>
      <c r="F67" s="610"/>
      <c r="G67" s="610"/>
      <c r="H67" s="610"/>
      <c r="I67" s="610"/>
      <c r="J67" s="610"/>
      <c r="K67" s="610"/>
      <c r="L67" s="1052" t="str">
        <f>IF($AB$3="ON","→","")</f>
        <v>→</v>
      </c>
      <c r="M67" s="1052" t="str">
        <f>IF($AB$3="ON","→","")</f>
        <v>→</v>
      </c>
      <c r="N67" s="1052" t="str">
        <f>IF($AB$3="ON","→","")</f>
        <v>→</v>
      </c>
      <c r="O67" s="1052" t="str">
        <f>IF($AB$3="ON","→","")</f>
        <v>→</v>
      </c>
      <c r="P67" s="1052" t="str">
        <f>IF($AB$3="ON","↓","")</f>
        <v>↓</v>
      </c>
      <c r="Q67" s="610"/>
      <c r="R67" s="624"/>
      <c r="BR67" s="1019" t="s">
        <v>751</v>
      </c>
      <c r="BS67" s="1019" t="s">
        <v>443</v>
      </c>
      <c r="BT67" s="1019" t="s">
        <v>565</v>
      </c>
      <c r="BU67" s="1019" t="s">
        <v>756</v>
      </c>
    </row>
    <row r="68" spans="2:73" ht="12" x14ac:dyDescent="0.4">
      <c r="C68" s="616"/>
      <c r="D68" s="610"/>
      <c r="E68" s="610"/>
      <c r="F68" s="610"/>
      <c r="G68" s="610"/>
      <c r="H68" s="1052" t="str">
        <f t="shared" ref="H68:H78" si="1">IF($AB$3="ON","↑","")</f>
        <v>↑</v>
      </c>
      <c r="I68" s="610"/>
      <c r="J68" s="610"/>
      <c r="K68" s="610"/>
      <c r="L68" s="610"/>
      <c r="M68" s="610"/>
      <c r="N68" s="613"/>
      <c r="O68" s="613"/>
      <c r="P68" s="1053" t="str">
        <f>IF($AB$3="ON","↓","")</f>
        <v>↓</v>
      </c>
      <c r="Q68" s="610"/>
      <c r="R68" s="624"/>
      <c r="BR68" s="1019" t="s">
        <v>733</v>
      </c>
      <c r="BS68" s="1019" t="s">
        <v>491</v>
      </c>
      <c r="BT68" s="1019" t="s">
        <v>539</v>
      </c>
      <c r="BU68" s="1019" t="s">
        <v>724</v>
      </c>
    </row>
    <row r="69" spans="2:73" ht="12" x14ac:dyDescent="0.4">
      <c r="B69" s="125">
        <v>5</v>
      </c>
      <c r="C69" s="616"/>
      <c r="D69" s="610"/>
      <c r="E69" s="610"/>
      <c r="F69" s="610"/>
      <c r="G69" s="610"/>
      <c r="H69" s="1052" t="str">
        <f t="shared" si="1"/>
        <v>↑</v>
      </c>
      <c r="I69" s="610"/>
      <c r="J69" s="610"/>
      <c r="K69" s="610"/>
      <c r="L69" s="610"/>
      <c r="M69" s="611"/>
      <c r="N69" s="638" t="s">
        <v>751</v>
      </c>
      <c r="O69" s="633"/>
      <c r="P69" s="636"/>
      <c r="Q69" s="639" t="s">
        <v>733</v>
      </c>
      <c r="R69" s="624"/>
      <c r="BR69" s="1019" t="s">
        <v>508</v>
      </c>
      <c r="BS69" s="1019" t="s">
        <v>486</v>
      </c>
      <c r="BT69" s="1019" t="s">
        <v>539</v>
      </c>
      <c r="BU69" s="1019" t="s">
        <v>757</v>
      </c>
    </row>
    <row r="70" spans="2:73" ht="12" x14ac:dyDescent="0.4">
      <c r="C70" s="616"/>
      <c r="D70" s="610"/>
      <c r="E70" s="610"/>
      <c r="F70" s="610"/>
      <c r="G70" s="610"/>
      <c r="H70" s="1052" t="str">
        <f t="shared" si="1"/>
        <v>↑</v>
      </c>
      <c r="I70" s="610"/>
      <c r="J70" s="610"/>
      <c r="K70" s="610"/>
      <c r="L70" s="610"/>
      <c r="M70" s="611"/>
      <c r="N70" s="634"/>
      <c r="O70" s="635"/>
      <c r="P70" s="1054" t="str">
        <f t="shared" ref="P70:P75" si="2">IF($AB$3="ON","↓","")</f>
        <v>↓</v>
      </c>
      <c r="Q70" s="609"/>
      <c r="R70" s="624"/>
    </row>
    <row r="71" spans="2:73" ht="12" x14ac:dyDescent="0.4">
      <c r="C71" s="616"/>
      <c r="D71" s="610"/>
      <c r="E71" s="610"/>
      <c r="F71" s="610"/>
      <c r="G71" s="610"/>
      <c r="H71" s="1052" t="str">
        <f t="shared" si="1"/>
        <v>↑</v>
      </c>
      <c r="I71" s="610"/>
      <c r="J71" s="610"/>
      <c r="K71" s="610"/>
      <c r="L71" s="610"/>
      <c r="M71" s="610"/>
      <c r="N71" s="607"/>
      <c r="O71" s="607"/>
      <c r="P71" s="1055" t="str">
        <f t="shared" si="2"/>
        <v>↓</v>
      </c>
      <c r="Q71" s="610"/>
      <c r="R71" s="624"/>
    </row>
    <row r="72" spans="2:73" ht="12" x14ac:dyDescent="0.4">
      <c r="C72" s="616"/>
      <c r="D72" s="610"/>
      <c r="E72" s="610"/>
      <c r="F72" s="610"/>
      <c r="G72" s="610"/>
      <c r="H72" s="1052" t="str">
        <f t="shared" si="1"/>
        <v>↑</v>
      </c>
      <c r="I72" s="610"/>
      <c r="J72" s="610"/>
      <c r="K72" s="610"/>
      <c r="L72" s="610"/>
      <c r="M72" s="610"/>
      <c r="N72" s="610"/>
      <c r="O72" s="610"/>
      <c r="P72" s="1052" t="str">
        <f t="shared" si="2"/>
        <v>↓</v>
      </c>
      <c r="Q72" s="610"/>
      <c r="R72" s="624"/>
    </row>
    <row r="73" spans="2:73" ht="12" x14ac:dyDescent="0.4">
      <c r="C73" s="616"/>
      <c r="D73" s="610"/>
      <c r="E73" s="610"/>
      <c r="F73" s="610"/>
      <c r="G73" s="610"/>
      <c r="H73" s="1052" t="str">
        <f t="shared" si="1"/>
        <v>↑</v>
      </c>
      <c r="I73" s="610"/>
      <c r="J73" s="610"/>
      <c r="K73" s="610"/>
      <c r="L73" s="610"/>
      <c r="M73" s="610"/>
      <c r="N73" s="610"/>
      <c r="O73" s="613"/>
      <c r="P73" s="1052" t="str">
        <f t="shared" si="2"/>
        <v>↓</v>
      </c>
      <c r="Q73" s="610"/>
      <c r="R73" s="641"/>
    </row>
    <row r="74" spans="2:73" ht="12" x14ac:dyDescent="0.4">
      <c r="B74" s="125">
        <v>10</v>
      </c>
      <c r="C74" s="616"/>
      <c r="D74" s="610"/>
      <c r="E74" s="610"/>
      <c r="F74" s="610"/>
      <c r="G74" s="610"/>
      <c r="H74" s="1052" t="str">
        <f t="shared" si="1"/>
        <v>↑</v>
      </c>
      <c r="I74" s="610"/>
      <c r="J74" s="610"/>
      <c r="K74" s="610"/>
      <c r="L74" s="610"/>
      <c r="M74" s="610"/>
      <c r="N74" s="611"/>
      <c r="O74" s="583" t="s">
        <v>419</v>
      </c>
      <c r="P74" s="1056" t="str">
        <f t="shared" si="2"/>
        <v>↓</v>
      </c>
      <c r="Q74" s="611"/>
      <c r="R74" s="583" t="s">
        <v>419</v>
      </c>
    </row>
    <row r="75" spans="2:73" ht="12" x14ac:dyDescent="0.4">
      <c r="C75" s="616"/>
      <c r="D75" s="610"/>
      <c r="E75" s="610"/>
      <c r="F75" s="610"/>
      <c r="G75" s="610"/>
      <c r="H75" s="1052" t="str">
        <f t="shared" si="1"/>
        <v>↑</v>
      </c>
      <c r="I75" s="610"/>
      <c r="J75" s="610"/>
      <c r="K75" s="610"/>
      <c r="L75" s="610"/>
      <c r="M75" s="610"/>
      <c r="N75" s="611"/>
      <c r="O75" s="503"/>
      <c r="P75" s="1056" t="str">
        <f t="shared" si="2"/>
        <v>↓</v>
      </c>
      <c r="Q75" s="611"/>
      <c r="R75" s="503"/>
    </row>
    <row r="76" spans="2:73" ht="12" x14ac:dyDescent="0.4">
      <c r="C76" s="616"/>
      <c r="D76" s="610"/>
      <c r="E76" s="610"/>
      <c r="F76" s="610"/>
      <c r="G76" s="610"/>
      <c r="H76" s="1052" t="str">
        <f t="shared" si="1"/>
        <v>↑</v>
      </c>
      <c r="I76" s="610"/>
      <c r="J76" s="610"/>
      <c r="K76" s="610"/>
      <c r="L76" s="610"/>
      <c r="M76" s="610"/>
      <c r="N76" s="611"/>
      <c r="O76" s="503"/>
      <c r="P76" s="642" t="s">
        <v>752</v>
      </c>
      <c r="Q76" s="611"/>
      <c r="R76" s="503"/>
    </row>
    <row r="77" spans="2:73" ht="12" x14ac:dyDescent="0.4">
      <c r="C77" s="616"/>
      <c r="D77" s="610"/>
      <c r="E77" s="610"/>
      <c r="F77" s="610"/>
      <c r="G77" s="610"/>
      <c r="H77" s="1052" t="str">
        <f t="shared" si="1"/>
        <v>↑</v>
      </c>
      <c r="I77" s="610"/>
      <c r="J77" s="610"/>
      <c r="K77" s="610"/>
      <c r="L77" s="610"/>
      <c r="M77" s="610"/>
      <c r="N77" s="611"/>
      <c r="O77" s="503"/>
      <c r="P77" s="1056" t="str">
        <f>IF($AB$3="ON","↓","")</f>
        <v>↓</v>
      </c>
      <c r="Q77" s="611"/>
      <c r="R77" s="503"/>
    </row>
    <row r="78" spans="2:73" ht="12" x14ac:dyDescent="0.4">
      <c r="C78" s="616"/>
      <c r="D78" s="610"/>
      <c r="E78" s="610"/>
      <c r="F78" s="610"/>
      <c r="G78" s="610"/>
      <c r="H78" s="1052" t="str">
        <f t="shared" si="1"/>
        <v>↑</v>
      </c>
      <c r="I78" s="610"/>
      <c r="J78" s="610"/>
      <c r="K78" s="610"/>
      <c r="L78" s="610"/>
      <c r="M78" s="610"/>
      <c r="N78" s="611"/>
      <c r="O78" s="503"/>
      <c r="P78" s="609"/>
      <c r="Q78" s="611"/>
      <c r="R78" s="503"/>
    </row>
    <row r="79" spans="2:73" ht="11.25" thickBot="1" x14ac:dyDescent="0.45">
      <c r="B79" s="125">
        <v>15</v>
      </c>
      <c r="C79" s="620"/>
      <c r="D79" s="621"/>
      <c r="E79" s="621"/>
      <c r="F79" s="621"/>
      <c r="G79" s="621"/>
      <c r="H79" s="643" t="s">
        <v>508</v>
      </c>
      <c r="I79" s="621"/>
      <c r="J79" s="621"/>
      <c r="K79" s="621"/>
      <c r="L79" s="621"/>
      <c r="M79" s="621"/>
      <c r="N79" s="622"/>
      <c r="O79" s="504"/>
      <c r="P79" s="640"/>
      <c r="Q79" s="622"/>
      <c r="R79" s="504"/>
    </row>
    <row r="83" spans="2:73" ht="15.75" x14ac:dyDescent="0.4">
      <c r="B83" s="122" t="s">
        <v>758</v>
      </c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3" t="s">
        <v>759</v>
      </c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</row>
    <row r="84" spans="2:73" ht="12" x14ac:dyDescent="0.4">
      <c r="B84" s="124" t="s">
        <v>760</v>
      </c>
    </row>
    <row r="85" spans="2:73" ht="12.75" thickBot="1" x14ac:dyDescent="0.45">
      <c r="C85" s="125">
        <v>0</v>
      </c>
      <c r="H85" s="125">
        <v>5</v>
      </c>
      <c r="M85" s="125">
        <v>10</v>
      </c>
      <c r="R85" s="125">
        <v>15</v>
      </c>
      <c r="W85" s="125">
        <v>20</v>
      </c>
      <c r="AB85" s="125">
        <v>25</v>
      </c>
      <c r="AG85" s="125">
        <v>30</v>
      </c>
      <c r="AL85" s="125">
        <v>35</v>
      </c>
      <c r="AQ85" s="125">
        <v>40</v>
      </c>
      <c r="AV85" s="125">
        <v>45</v>
      </c>
      <c r="BA85" s="125">
        <v>50</v>
      </c>
      <c r="BF85" s="125">
        <v>55</v>
      </c>
      <c r="BR85" s="272" t="s">
        <v>310</v>
      </c>
      <c r="BS85" s="272" t="s">
        <v>529</v>
      </c>
      <c r="BT85" s="272" t="s">
        <v>530</v>
      </c>
      <c r="BU85" s="272" t="s">
        <v>531</v>
      </c>
    </row>
    <row r="86" spans="2:73" ht="12" x14ac:dyDescent="0.4">
      <c r="B86" s="125">
        <v>0</v>
      </c>
      <c r="C86" s="655"/>
      <c r="D86" s="656"/>
      <c r="E86" s="656"/>
      <c r="F86" s="656"/>
      <c r="G86" s="656"/>
      <c r="H86" s="656"/>
      <c r="I86" s="656"/>
      <c r="J86" s="656"/>
      <c r="K86" s="656"/>
      <c r="L86" s="656"/>
      <c r="M86" s="656"/>
      <c r="N86" s="656"/>
      <c r="O86" s="656"/>
      <c r="P86" s="656"/>
      <c r="Q86" s="656"/>
      <c r="R86" s="656"/>
      <c r="S86" s="656"/>
      <c r="T86" s="657"/>
      <c r="U86" s="672" t="s">
        <v>761</v>
      </c>
      <c r="V86" s="666"/>
      <c r="W86" s="666"/>
      <c r="X86" s="666"/>
      <c r="Y86" s="666"/>
      <c r="Z86" s="666"/>
      <c r="AA86" s="666"/>
      <c r="AB86" s="666"/>
      <c r="AC86" s="666"/>
      <c r="AD86" s="666"/>
      <c r="AE86" s="666"/>
      <c r="AF86" s="666"/>
      <c r="AG86" s="666"/>
      <c r="AH86" s="666"/>
      <c r="AI86" s="666"/>
      <c r="AJ86" s="666"/>
      <c r="AK86" s="666"/>
      <c r="AL86" s="666"/>
      <c r="AM86" s="666"/>
      <c r="AN86" s="669"/>
      <c r="AO86" s="664"/>
      <c r="AP86" s="656"/>
      <c r="AQ86" s="656"/>
      <c r="AR86" s="656"/>
      <c r="AS86" s="656"/>
      <c r="AT86" s="656"/>
      <c r="AU86" s="656"/>
      <c r="AV86" s="656"/>
      <c r="AW86" s="656"/>
      <c r="AX86" s="656"/>
      <c r="AY86" s="656"/>
      <c r="AZ86" s="656"/>
      <c r="BA86" s="656"/>
      <c r="BB86" s="656"/>
      <c r="BC86" s="656"/>
      <c r="BD86" s="656"/>
      <c r="BE86" s="656"/>
      <c r="BF86" s="660"/>
      <c r="BR86" s="1019" t="s">
        <v>761</v>
      </c>
      <c r="BS86" s="1019" t="s">
        <v>473</v>
      </c>
      <c r="BT86" s="1019" t="s">
        <v>772</v>
      </c>
      <c r="BU86" s="1019" t="s">
        <v>773</v>
      </c>
    </row>
    <row r="87" spans="2:73" ht="12" x14ac:dyDescent="0.4">
      <c r="C87" s="653"/>
      <c r="D87" s="565"/>
      <c r="E87" s="565"/>
      <c r="F87" s="565"/>
      <c r="G87" s="565"/>
      <c r="H87" s="565"/>
      <c r="I87" s="565"/>
      <c r="J87" s="565"/>
      <c r="K87" s="565"/>
      <c r="L87" s="565"/>
      <c r="M87" s="565"/>
      <c r="N87" s="565"/>
      <c r="O87" s="565"/>
      <c r="P87" s="565"/>
      <c r="Q87" s="565"/>
      <c r="R87" s="565"/>
      <c r="S87" s="565"/>
      <c r="T87" s="574"/>
      <c r="U87" s="665"/>
      <c r="V87" s="663"/>
      <c r="W87" s="663"/>
      <c r="X87" s="663"/>
      <c r="Y87" s="663"/>
      <c r="Z87" s="663"/>
      <c r="AA87" s="663"/>
      <c r="AB87" s="663"/>
      <c r="AC87" s="663"/>
      <c r="AD87" s="663"/>
      <c r="AE87" s="663"/>
      <c r="AF87" s="663"/>
      <c r="AG87" s="663"/>
      <c r="AH87" s="663"/>
      <c r="AI87" s="663"/>
      <c r="AJ87" s="663"/>
      <c r="AK87" s="663"/>
      <c r="AL87" s="663"/>
      <c r="AM87" s="663"/>
      <c r="AN87" s="670"/>
      <c r="AO87" s="648"/>
      <c r="AP87" s="565"/>
      <c r="AQ87" s="565"/>
      <c r="AR87" s="565"/>
      <c r="AS87" s="565"/>
      <c r="AT87" s="565"/>
      <c r="AU87" s="565"/>
      <c r="AV87" s="565"/>
      <c r="AW87" s="565"/>
      <c r="AX87" s="565"/>
      <c r="AY87" s="565"/>
      <c r="AZ87" s="565"/>
      <c r="BA87" s="565"/>
      <c r="BB87" s="565"/>
      <c r="BC87" s="565"/>
      <c r="BD87" s="565"/>
      <c r="BE87" s="565"/>
      <c r="BF87" s="661"/>
      <c r="BR87" s="1019" t="s">
        <v>762</v>
      </c>
      <c r="BS87" s="1019" t="s">
        <v>436</v>
      </c>
      <c r="BT87" s="1019" t="s">
        <v>534</v>
      </c>
      <c r="BU87" s="1019" t="s">
        <v>774</v>
      </c>
    </row>
    <row r="88" spans="2:73" ht="12" x14ac:dyDescent="0.4">
      <c r="C88" s="653"/>
      <c r="D88" s="565"/>
      <c r="E88" s="565"/>
      <c r="F88" s="565"/>
      <c r="G88" s="565"/>
      <c r="H88" s="565"/>
      <c r="I88" s="565"/>
      <c r="J88" s="565"/>
      <c r="K88" s="565"/>
      <c r="L88" s="565"/>
      <c r="M88" s="565"/>
      <c r="N88" s="565"/>
      <c r="O88" s="565"/>
      <c r="P88" s="565"/>
      <c r="Q88" s="565"/>
      <c r="R88" s="565"/>
      <c r="S88" s="565"/>
      <c r="T88" s="574"/>
      <c r="U88" s="665"/>
      <c r="V88" s="663"/>
      <c r="W88" s="663"/>
      <c r="X88" s="663"/>
      <c r="Y88" s="663"/>
      <c r="Z88" s="663"/>
      <c r="AA88" s="663"/>
      <c r="AB88" s="663"/>
      <c r="AC88" s="663"/>
      <c r="AD88" s="663"/>
      <c r="AE88" s="663"/>
      <c r="AF88" s="663"/>
      <c r="AG88" s="663"/>
      <c r="AH88" s="663"/>
      <c r="AI88" s="663"/>
      <c r="AJ88" s="663"/>
      <c r="AK88" s="663"/>
      <c r="AL88" s="663"/>
      <c r="AM88" s="663"/>
      <c r="AN88" s="670"/>
      <c r="AO88" s="648"/>
      <c r="AP88" s="565"/>
      <c r="AQ88" s="565"/>
      <c r="AR88" s="565"/>
      <c r="AS88" s="565"/>
      <c r="AT88" s="565"/>
      <c r="AU88" s="565"/>
      <c r="AV88" s="565"/>
      <c r="AW88" s="565"/>
      <c r="AX88" s="565"/>
      <c r="AY88" s="565"/>
      <c r="AZ88" s="565"/>
      <c r="BA88" s="565"/>
      <c r="BB88" s="565"/>
      <c r="BC88" s="565"/>
      <c r="BD88" s="565"/>
      <c r="BE88" s="565"/>
      <c r="BF88" s="661"/>
      <c r="BR88" s="1019" t="s">
        <v>763</v>
      </c>
      <c r="BS88" s="1019" t="s">
        <v>472</v>
      </c>
      <c r="BT88" s="1019" t="s">
        <v>775</v>
      </c>
      <c r="BU88" s="1019" t="s">
        <v>776</v>
      </c>
    </row>
    <row r="89" spans="2:73" ht="12" x14ac:dyDescent="0.4">
      <c r="C89" s="653"/>
      <c r="D89" s="565"/>
      <c r="E89" s="565"/>
      <c r="F89" s="565"/>
      <c r="G89" s="565"/>
      <c r="H89" s="565"/>
      <c r="I89" s="565"/>
      <c r="J89" s="565"/>
      <c r="K89" s="565"/>
      <c r="L89" s="565"/>
      <c r="M89" s="565"/>
      <c r="N89" s="565"/>
      <c r="O89" s="565"/>
      <c r="P89" s="565"/>
      <c r="Q89" s="565"/>
      <c r="R89" s="565"/>
      <c r="S89" s="565"/>
      <c r="T89" s="574"/>
      <c r="U89" s="665"/>
      <c r="V89" s="663"/>
      <c r="W89" s="663"/>
      <c r="X89" s="663"/>
      <c r="Y89" s="663"/>
      <c r="Z89" s="663"/>
      <c r="AA89" s="663"/>
      <c r="AB89" s="663"/>
      <c r="AC89" s="663"/>
      <c r="AD89" s="663"/>
      <c r="AE89" s="663"/>
      <c r="AF89" s="663"/>
      <c r="AG89" s="663"/>
      <c r="AH89" s="663"/>
      <c r="AI89" s="663"/>
      <c r="AJ89" s="663"/>
      <c r="AK89" s="663"/>
      <c r="AL89" s="663"/>
      <c r="AM89" s="663"/>
      <c r="AN89" s="670"/>
      <c r="AO89" s="648"/>
      <c r="AP89" s="565"/>
      <c r="AQ89" s="565"/>
      <c r="AR89" s="565"/>
      <c r="AS89" s="565"/>
      <c r="AT89" s="565"/>
      <c r="AU89" s="565"/>
      <c r="AV89" s="565"/>
      <c r="AW89" s="565"/>
      <c r="AX89" s="565"/>
      <c r="AY89" s="565"/>
      <c r="AZ89" s="565"/>
      <c r="BA89" s="565"/>
      <c r="BB89" s="565"/>
      <c r="BC89" s="565"/>
      <c r="BD89" s="565"/>
      <c r="BE89" s="565"/>
      <c r="BF89" s="661"/>
      <c r="BR89" s="1019" t="s">
        <v>471</v>
      </c>
      <c r="BS89" s="1019" t="s">
        <v>471</v>
      </c>
      <c r="BT89" s="1019" t="s">
        <v>777</v>
      </c>
      <c r="BU89" s="1019" t="s">
        <v>778</v>
      </c>
    </row>
    <row r="90" spans="2:73" ht="12" x14ac:dyDescent="0.4">
      <c r="C90" s="653"/>
      <c r="D90" s="565"/>
      <c r="E90" s="565"/>
      <c r="F90" s="565"/>
      <c r="G90" s="565"/>
      <c r="H90" s="565"/>
      <c r="I90" s="565"/>
      <c r="J90" s="565"/>
      <c r="K90" s="565"/>
      <c r="L90" s="565"/>
      <c r="M90" s="565"/>
      <c r="N90" s="565"/>
      <c r="O90" s="565"/>
      <c r="P90" s="565"/>
      <c r="Q90" s="565"/>
      <c r="R90" s="565"/>
      <c r="S90" s="565"/>
      <c r="T90" s="574"/>
      <c r="U90" s="665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3"/>
      <c r="AG90" s="663"/>
      <c r="AH90" s="663"/>
      <c r="AI90" s="663"/>
      <c r="AJ90" s="663"/>
      <c r="AK90" s="663"/>
      <c r="AL90" s="663"/>
      <c r="AM90" s="663"/>
      <c r="AN90" s="670"/>
      <c r="AO90" s="648"/>
      <c r="AP90" s="565"/>
      <c r="AQ90" s="565"/>
      <c r="AR90" s="565"/>
      <c r="AS90" s="565"/>
      <c r="AT90" s="565"/>
      <c r="AU90" s="565"/>
      <c r="AV90" s="565"/>
      <c r="AW90" s="565"/>
      <c r="AX90" s="565"/>
      <c r="AY90" s="565"/>
      <c r="AZ90" s="565"/>
      <c r="BA90" s="565"/>
      <c r="BB90" s="565"/>
      <c r="BC90" s="565"/>
      <c r="BD90" s="565"/>
      <c r="BE90" s="565"/>
      <c r="BF90" s="661"/>
      <c r="BR90" s="1019" t="s">
        <v>764</v>
      </c>
      <c r="BS90" s="1019" t="s">
        <v>468</v>
      </c>
      <c r="BT90" s="1019" t="s">
        <v>565</v>
      </c>
      <c r="BU90" s="1019" t="s">
        <v>779</v>
      </c>
    </row>
    <row r="91" spans="2:73" ht="12" x14ac:dyDescent="0.4">
      <c r="B91" s="125">
        <v>5</v>
      </c>
      <c r="C91" s="653"/>
      <c r="D91" s="565"/>
      <c r="E91" s="650"/>
      <c r="F91" s="650"/>
      <c r="G91" s="650"/>
      <c r="H91" s="650"/>
      <c r="I91" s="650"/>
      <c r="J91" s="650"/>
      <c r="K91" s="565"/>
      <c r="L91" s="565"/>
      <c r="M91" s="565"/>
      <c r="N91" s="565"/>
      <c r="O91" s="565"/>
      <c r="P91" s="565"/>
      <c r="Q91" s="565"/>
      <c r="R91" s="565"/>
      <c r="S91" s="565"/>
      <c r="T91" s="574"/>
      <c r="U91" s="665"/>
      <c r="V91" s="663"/>
      <c r="W91" s="663"/>
      <c r="X91" s="663"/>
      <c r="Y91" s="663"/>
      <c r="Z91" s="663"/>
      <c r="AA91" s="663"/>
      <c r="AB91" s="663"/>
      <c r="AC91" s="663"/>
      <c r="AD91" s="663"/>
      <c r="AE91" s="663"/>
      <c r="AF91" s="663"/>
      <c r="AG91" s="663"/>
      <c r="AH91" s="663"/>
      <c r="AI91" s="663"/>
      <c r="AJ91" s="663"/>
      <c r="AK91" s="663"/>
      <c r="AL91" s="663"/>
      <c r="AM91" s="663"/>
      <c r="AN91" s="670"/>
      <c r="AO91" s="648"/>
      <c r="AP91" s="565"/>
      <c r="AQ91" s="565"/>
      <c r="AR91" s="565"/>
      <c r="AS91" s="565"/>
      <c r="AT91" s="565"/>
      <c r="AU91" s="565"/>
      <c r="AV91" s="565"/>
      <c r="AW91" s="565"/>
      <c r="AX91" s="565"/>
      <c r="AY91" s="565"/>
      <c r="AZ91" s="565"/>
      <c r="BA91" s="565"/>
      <c r="BB91" s="565"/>
      <c r="BC91" s="565"/>
      <c r="BD91" s="565"/>
      <c r="BE91" s="565"/>
      <c r="BF91" s="661"/>
      <c r="BR91" s="1019" t="s">
        <v>765</v>
      </c>
      <c r="BS91" s="1019" t="s">
        <v>450</v>
      </c>
      <c r="BT91" s="1019" t="s">
        <v>780</v>
      </c>
      <c r="BU91" s="1019" t="s">
        <v>781</v>
      </c>
    </row>
    <row r="92" spans="2:73" ht="12" x14ac:dyDescent="0.4">
      <c r="C92" s="653"/>
      <c r="D92" s="574"/>
      <c r="E92" s="696" t="s">
        <v>766</v>
      </c>
      <c r="F92" s="690"/>
      <c r="G92" s="690"/>
      <c r="H92" s="690"/>
      <c r="I92" s="690"/>
      <c r="J92" s="693"/>
      <c r="K92" s="648"/>
      <c r="L92" s="565"/>
      <c r="M92" s="565"/>
      <c r="N92" s="565"/>
      <c r="O92" s="565"/>
      <c r="P92" s="565"/>
      <c r="Q92" s="565"/>
      <c r="R92" s="565"/>
      <c r="S92" s="565"/>
      <c r="T92" s="574"/>
      <c r="U92" s="665"/>
      <c r="V92" s="663"/>
      <c r="W92" s="663"/>
      <c r="X92" s="663"/>
      <c r="Y92" s="663"/>
      <c r="Z92" s="663"/>
      <c r="AA92" s="663"/>
      <c r="AB92" s="663"/>
      <c r="AC92" s="663"/>
      <c r="AD92" s="663"/>
      <c r="AE92" s="663"/>
      <c r="AF92" s="663"/>
      <c r="AG92" s="663"/>
      <c r="AH92" s="663"/>
      <c r="AI92" s="663"/>
      <c r="AJ92" s="663"/>
      <c r="AK92" s="663"/>
      <c r="AL92" s="663"/>
      <c r="AM92" s="663"/>
      <c r="AN92" s="670"/>
      <c r="AO92" s="648"/>
      <c r="AP92" s="565"/>
      <c r="AQ92" s="565"/>
      <c r="AR92" s="565"/>
      <c r="AS92" s="565"/>
      <c r="AT92" s="565"/>
      <c r="AU92" s="565"/>
      <c r="AV92" s="565"/>
      <c r="AW92" s="565"/>
      <c r="AX92" s="565"/>
      <c r="AY92" s="565"/>
      <c r="AZ92" s="565"/>
      <c r="BA92" s="565"/>
      <c r="BB92" s="565"/>
      <c r="BC92" s="565"/>
      <c r="BD92" s="565"/>
      <c r="BE92" s="565"/>
      <c r="BF92" s="661"/>
      <c r="BR92" s="1019" t="s">
        <v>766</v>
      </c>
      <c r="BS92" s="1019" t="s">
        <v>441</v>
      </c>
      <c r="BT92" s="1019" t="s">
        <v>782</v>
      </c>
      <c r="BU92" s="1019" t="s">
        <v>783</v>
      </c>
    </row>
    <row r="93" spans="2:73" ht="12" x14ac:dyDescent="0.4">
      <c r="C93" s="653"/>
      <c r="D93" s="574"/>
      <c r="E93" s="689"/>
      <c r="F93" s="688"/>
      <c r="G93" s="688"/>
      <c r="H93" s="688"/>
      <c r="I93" s="688"/>
      <c r="J93" s="694"/>
      <c r="K93" s="648"/>
      <c r="L93" s="565"/>
      <c r="M93" s="565"/>
      <c r="N93" s="565"/>
      <c r="O93" s="565"/>
      <c r="P93" s="565"/>
      <c r="Q93" s="565"/>
      <c r="R93" s="565"/>
      <c r="S93" s="565"/>
      <c r="T93" s="574"/>
      <c r="U93" s="665"/>
      <c r="V93" s="663"/>
      <c r="W93" s="663"/>
      <c r="X93" s="663"/>
      <c r="Y93" s="663"/>
      <c r="Z93" s="663"/>
      <c r="AA93" s="663"/>
      <c r="AB93" s="663"/>
      <c r="AC93" s="663"/>
      <c r="AD93" s="663"/>
      <c r="AE93" s="663"/>
      <c r="AF93" s="663"/>
      <c r="AG93" s="663"/>
      <c r="AH93" s="663"/>
      <c r="AI93" s="663"/>
      <c r="AJ93" s="663"/>
      <c r="AK93" s="663"/>
      <c r="AL93" s="663"/>
      <c r="AM93" s="663"/>
      <c r="AN93" s="670"/>
      <c r="AO93" s="648"/>
      <c r="AP93" s="565"/>
      <c r="AQ93" s="565"/>
      <c r="AR93" s="565"/>
      <c r="AS93" s="565"/>
      <c r="AT93" s="565"/>
      <c r="AU93" s="565"/>
      <c r="AV93" s="565"/>
      <c r="AW93" s="565"/>
      <c r="AX93" s="565"/>
      <c r="AY93" s="565"/>
      <c r="AZ93" s="565"/>
      <c r="BA93" s="565"/>
      <c r="BB93" s="565"/>
      <c r="BC93" s="565"/>
      <c r="BD93" s="565"/>
      <c r="BE93" s="565"/>
      <c r="BF93" s="661"/>
      <c r="BR93" s="1019" t="s">
        <v>766</v>
      </c>
      <c r="BS93" s="1019" t="s">
        <v>441</v>
      </c>
      <c r="BT93" s="1019" t="s">
        <v>782</v>
      </c>
      <c r="BU93" s="1019" t="s">
        <v>784</v>
      </c>
    </row>
    <row r="94" spans="2:73" ht="12" x14ac:dyDescent="0.4">
      <c r="C94" s="653"/>
      <c r="D94" s="574"/>
      <c r="E94" s="689"/>
      <c r="F94" s="688"/>
      <c r="G94" s="688"/>
      <c r="H94" s="688"/>
      <c r="I94" s="688"/>
      <c r="J94" s="694"/>
      <c r="K94" s="648"/>
      <c r="L94" s="565"/>
      <c r="M94" s="565"/>
      <c r="N94" s="565"/>
      <c r="O94" s="565"/>
      <c r="P94" s="565"/>
      <c r="Q94" s="565"/>
      <c r="R94" s="565"/>
      <c r="S94" s="565"/>
      <c r="T94" s="574"/>
      <c r="U94" s="665"/>
      <c r="V94" s="663"/>
      <c r="W94" s="663"/>
      <c r="X94" s="663"/>
      <c r="Y94" s="663"/>
      <c r="Z94" s="663"/>
      <c r="AA94" s="663"/>
      <c r="AB94" s="663"/>
      <c r="AC94" s="663"/>
      <c r="AD94" s="663"/>
      <c r="AE94" s="663"/>
      <c r="AF94" s="663"/>
      <c r="AG94" s="663"/>
      <c r="AH94" s="663"/>
      <c r="AI94" s="663"/>
      <c r="AJ94" s="663"/>
      <c r="AK94" s="663"/>
      <c r="AL94" s="663"/>
      <c r="AM94" s="663"/>
      <c r="AN94" s="670"/>
      <c r="AO94" s="648"/>
      <c r="AP94" s="565"/>
      <c r="AQ94" s="565"/>
      <c r="AR94" s="565"/>
      <c r="AS94" s="565"/>
      <c r="AT94" s="565"/>
      <c r="AU94" s="565"/>
      <c r="AV94" s="565"/>
      <c r="AW94" s="565"/>
      <c r="AX94" s="565"/>
      <c r="AY94" s="565"/>
      <c r="AZ94" s="565"/>
      <c r="BA94" s="565"/>
      <c r="BB94" s="565"/>
      <c r="BC94" s="565"/>
      <c r="BD94" s="565"/>
      <c r="BE94" s="565"/>
      <c r="BF94" s="661"/>
      <c r="BR94" s="1019" t="s">
        <v>766</v>
      </c>
      <c r="BS94" s="1019" t="s">
        <v>441</v>
      </c>
      <c r="BT94" s="1019" t="s">
        <v>785</v>
      </c>
      <c r="BU94" s="1019" t="s">
        <v>786</v>
      </c>
    </row>
    <row r="95" spans="2:73" ht="12" x14ac:dyDescent="0.4">
      <c r="C95" s="653"/>
      <c r="D95" s="574"/>
      <c r="E95" s="689"/>
      <c r="F95" s="688"/>
      <c r="G95" s="688"/>
      <c r="H95" s="688"/>
      <c r="I95" s="688"/>
      <c r="J95" s="694"/>
      <c r="K95" s="648"/>
      <c r="L95" s="565"/>
      <c r="M95" s="565"/>
      <c r="N95" s="565"/>
      <c r="O95" s="565"/>
      <c r="P95" s="565"/>
      <c r="Q95" s="565"/>
      <c r="R95" s="565"/>
      <c r="S95" s="565"/>
      <c r="T95" s="574"/>
      <c r="U95" s="665"/>
      <c r="V95" s="663"/>
      <c r="W95" s="663"/>
      <c r="X95" s="663"/>
      <c r="Y95" s="663"/>
      <c r="Z95" s="663"/>
      <c r="AA95" s="663"/>
      <c r="AB95" s="663"/>
      <c r="AC95" s="663"/>
      <c r="AD95" s="663"/>
      <c r="AE95" s="663"/>
      <c r="AF95" s="663"/>
      <c r="AG95" s="663"/>
      <c r="AH95" s="663"/>
      <c r="AI95" s="663"/>
      <c r="AJ95" s="663"/>
      <c r="AK95" s="663"/>
      <c r="AL95" s="663"/>
      <c r="AM95" s="663"/>
      <c r="AN95" s="670"/>
      <c r="AO95" s="648"/>
      <c r="AP95" s="565"/>
      <c r="AQ95" s="565"/>
      <c r="AR95" s="565"/>
      <c r="AS95" s="565"/>
      <c r="AT95" s="565"/>
      <c r="AU95" s="565"/>
      <c r="AV95" s="565"/>
      <c r="AW95" s="565"/>
      <c r="AX95" s="565"/>
      <c r="AY95" s="565"/>
      <c r="AZ95" s="565"/>
      <c r="BA95" s="565"/>
      <c r="BB95" s="565"/>
      <c r="BC95" s="565"/>
      <c r="BD95" s="565"/>
      <c r="BE95" s="565"/>
      <c r="BF95" s="661"/>
      <c r="BR95" s="1019" t="s">
        <v>466</v>
      </c>
      <c r="BS95" s="1019" t="s">
        <v>466</v>
      </c>
      <c r="BT95" s="1019" t="s">
        <v>545</v>
      </c>
      <c r="BU95" s="1019" t="s">
        <v>787</v>
      </c>
    </row>
    <row r="96" spans="2:73" ht="12" x14ac:dyDescent="0.4">
      <c r="B96" s="125">
        <v>10</v>
      </c>
      <c r="C96" s="653"/>
      <c r="D96" s="574"/>
      <c r="E96" s="689"/>
      <c r="F96" s="688"/>
      <c r="G96" s="688"/>
      <c r="H96" s="688"/>
      <c r="I96" s="688"/>
      <c r="J96" s="694"/>
      <c r="K96" s="648"/>
      <c r="L96" s="565"/>
      <c r="M96" s="565"/>
      <c r="N96" s="565"/>
      <c r="O96" s="565"/>
      <c r="P96" s="565"/>
      <c r="Q96" s="565"/>
      <c r="R96" s="565"/>
      <c r="S96" s="565"/>
      <c r="T96" s="574"/>
      <c r="U96" s="665"/>
      <c r="V96" s="663"/>
      <c r="W96" s="663"/>
      <c r="X96" s="663"/>
      <c r="Y96" s="663"/>
      <c r="Z96" s="663"/>
      <c r="AA96" s="663"/>
      <c r="AB96" s="663"/>
      <c r="AC96" s="663"/>
      <c r="AD96" s="663"/>
      <c r="AE96" s="663"/>
      <c r="AF96" s="663"/>
      <c r="AG96" s="663"/>
      <c r="AH96" s="663"/>
      <c r="AI96" s="663"/>
      <c r="AJ96" s="663"/>
      <c r="AK96" s="663"/>
      <c r="AL96" s="663"/>
      <c r="AM96" s="663"/>
      <c r="AN96" s="670"/>
      <c r="AO96" s="648"/>
      <c r="AP96" s="565"/>
      <c r="AQ96" s="565"/>
      <c r="AR96" s="565"/>
      <c r="AS96" s="565"/>
      <c r="AT96" s="565"/>
      <c r="AU96" s="565"/>
      <c r="AV96" s="565"/>
      <c r="AW96" s="565"/>
      <c r="AX96" s="565"/>
      <c r="AY96" s="632" t="s">
        <v>770</v>
      </c>
      <c r="AZ96" s="565"/>
      <c r="BA96" s="565"/>
      <c r="BB96" s="565"/>
      <c r="BC96" s="565"/>
      <c r="BD96" s="565"/>
      <c r="BE96" s="565"/>
      <c r="BF96" s="661"/>
      <c r="BR96" s="1019" t="s">
        <v>466</v>
      </c>
      <c r="BS96" s="1019" t="s">
        <v>466</v>
      </c>
      <c r="BT96" s="1019" t="s">
        <v>545</v>
      </c>
      <c r="BU96" s="1019" t="s">
        <v>788</v>
      </c>
    </row>
    <row r="97" spans="2:73" ht="12" x14ac:dyDescent="0.4">
      <c r="C97" s="653"/>
      <c r="D97" s="574"/>
      <c r="E97" s="689"/>
      <c r="F97" s="688"/>
      <c r="G97" s="688"/>
      <c r="H97" s="688"/>
      <c r="I97" s="688"/>
      <c r="J97" s="694"/>
      <c r="K97" s="648"/>
      <c r="L97" s="565"/>
      <c r="M97" s="565"/>
      <c r="N97" s="565"/>
      <c r="O97" s="565"/>
      <c r="P97" s="565"/>
      <c r="Q97" s="565"/>
      <c r="R97" s="565"/>
      <c r="S97" s="565"/>
      <c r="T97" s="574"/>
      <c r="U97" s="665"/>
      <c r="V97" s="663"/>
      <c r="W97" s="663"/>
      <c r="X97" s="663"/>
      <c r="Y97" s="663"/>
      <c r="Z97" s="663"/>
      <c r="AA97" s="663"/>
      <c r="AB97" s="663"/>
      <c r="AC97" s="663"/>
      <c r="AD97" s="663"/>
      <c r="AE97" s="663"/>
      <c r="AF97" s="663"/>
      <c r="AG97" s="663"/>
      <c r="AH97" s="663"/>
      <c r="AI97" s="663"/>
      <c r="AJ97" s="663"/>
      <c r="AK97" s="663"/>
      <c r="AL97" s="663"/>
      <c r="AM97" s="663"/>
      <c r="AN97" s="670"/>
      <c r="AO97" s="648"/>
      <c r="AP97" s="565"/>
      <c r="AQ97" s="565"/>
      <c r="AR97" s="565"/>
      <c r="AS97" s="565"/>
      <c r="AT97" s="565"/>
      <c r="AU97" s="565"/>
      <c r="AV97" s="565"/>
      <c r="AW97" s="565"/>
      <c r="AX97" s="565"/>
      <c r="AY97" s="565"/>
      <c r="AZ97" s="565"/>
      <c r="BA97" s="565"/>
      <c r="BB97" s="565"/>
      <c r="BC97" s="565"/>
      <c r="BD97" s="565"/>
      <c r="BE97" s="565"/>
      <c r="BF97" s="661"/>
      <c r="BR97" s="1019" t="s">
        <v>767</v>
      </c>
      <c r="BS97" s="1019" t="s">
        <v>476</v>
      </c>
      <c r="BT97" s="1019" t="s">
        <v>539</v>
      </c>
      <c r="BU97" s="1019" t="s">
        <v>789</v>
      </c>
    </row>
    <row r="98" spans="2:73" ht="12" x14ac:dyDescent="0.4">
      <c r="C98" s="653"/>
      <c r="D98" s="574"/>
      <c r="E98" s="689"/>
      <c r="F98" s="688"/>
      <c r="G98" s="688"/>
      <c r="H98" s="688"/>
      <c r="I98" s="688"/>
      <c r="J98" s="694"/>
      <c r="K98" s="648"/>
      <c r="L98" s="565"/>
      <c r="M98" s="565"/>
      <c r="N98" s="565"/>
      <c r="O98" s="565"/>
      <c r="P98" s="565"/>
      <c r="Q98" s="565"/>
      <c r="R98" s="565"/>
      <c r="S98" s="565"/>
      <c r="T98" s="574"/>
      <c r="U98" s="665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  <c r="AH98" s="663"/>
      <c r="AI98" s="663"/>
      <c r="AJ98" s="663"/>
      <c r="AK98" s="663"/>
      <c r="AL98" s="663"/>
      <c r="AM98" s="663"/>
      <c r="AN98" s="670"/>
      <c r="AO98" s="648"/>
      <c r="AP98" s="565"/>
      <c r="AQ98" s="565"/>
      <c r="AR98" s="565"/>
      <c r="AS98" s="565"/>
      <c r="AT98" s="565"/>
      <c r="AU98" s="565"/>
      <c r="AV98" s="565"/>
      <c r="AW98" s="565"/>
      <c r="AX98" s="565"/>
      <c r="AY98" s="565"/>
      <c r="AZ98" s="565"/>
      <c r="BA98" s="565"/>
      <c r="BB98" s="565"/>
      <c r="BC98" s="565"/>
      <c r="BD98" s="565"/>
      <c r="BE98" s="565"/>
      <c r="BF98" s="661"/>
      <c r="BR98" s="1019" t="s">
        <v>768</v>
      </c>
      <c r="BS98" s="1019" t="s">
        <v>433</v>
      </c>
      <c r="BT98" s="1019" t="s">
        <v>790</v>
      </c>
      <c r="BU98" s="1019" t="s">
        <v>791</v>
      </c>
    </row>
    <row r="99" spans="2:73" ht="12" x14ac:dyDescent="0.4">
      <c r="C99" s="653"/>
      <c r="D99" s="574"/>
      <c r="E99" s="691"/>
      <c r="F99" s="692"/>
      <c r="G99" s="692"/>
      <c r="H99" s="692"/>
      <c r="I99" s="692"/>
      <c r="J99" s="695"/>
      <c r="K99" s="648"/>
      <c r="L99" s="565"/>
      <c r="M99" s="565"/>
      <c r="N99" s="565"/>
      <c r="O99" s="565"/>
      <c r="P99" s="565"/>
      <c r="Q99" s="565"/>
      <c r="R99" s="565"/>
      <c r="S99" s="565"/>
      <c r="T99" s="574"/>
      <c r="U99" s="667"/>
      <c r="V99" s="668"/>
      <c r="W99" s="668"/>
      <c r="X99" s="668"/>
      <c r="Y99" s="668"/>
      <c r="Z99" s="668"/>
      <c r="AA99" s="668"/>
      <c r="AB99" s="668"/>
      <c r="AC99" s="668"/>
      <c r="AD99" s="673"/>
      <c r="AE99" s="673"/>
      <c r="AF99" s="668"/>
      <c r="AG99" s="668"/>
      <c r="AH99" s="668"/>
      <c r="AI99" s="668"/>
      <c r="AJ99" s="668"/>
      <c r="AK99" s="668"/>
      <c r="AL99" s="668"/>
      <c r="AM99" s="668"/>
      <c r="AN99" s="671"/>
      <c r="AO99" s="648"/>
      <c r="AP99" s="565"/>
      <c r="AQ99" s="565"/>
      <c r="AR99" s="565"/>
      <c r="AS99" s="565"/>
      <c r="AT99" s="565"/>
      <c r="AU99" s="565"/>
      <c r="AV99" s="565"/>
      <c r="AW99" s="565"/>
      <c r="AX99" s="565"/>
      <c r="AY99" s="565"/>
      <c r="AZ99" s="565"/>
      <c r="BA99" s="565"/>
      <c r="BB99" s="565"/>
      <c r="BC99" s="565"/>
      <c r="BD99" s="565"/>
      <c r="BE99" s="565"/>
      <c r="BF99" s="661"/>
      <c r="BR99" s="1019" t="s">
        <v>770</v>
      </c>
      <c r="BS99" s="1019" t="s">
        <v>477</v>
      </c>
      <c r="BT99" s="1019" t="s">
        <v>539</v>
      </c>
      <c r="BU99" s="1019" t="s">
        <v>792</v>
      </c>
    </row>
    <row r="100" spans="2:73" ht="12" x14ac:dyDescent="0.4">
      <c r="C100" s="653"/>
      <c r="D100" s="565"/>
      <c r="E100" s="646"/>
      <c r="F100" s="646"/>
      <c r="G100" s="646"/>
      <c r="H100" s="646"/>
      <c r="I100" s="646"/>
      <c r="J100" s="646"/>
      <c r="K100" s="565"/>
      <c r="L100" s="565"/>
      <c r="M100" s="565"/>
      <c r="N100" s="565"/>
      <c r="O100" s="565"/>
      <c r="P100" s="565"/>
      <c r="Q100" s="565"/>
      <c r="R100" s="565"/>
      <c r="S100" s="565"/>
      <c r="T100" s="565"/>
      <c r="U100" s="646"/>
      <c r="V100" s="646"/>
      <c r="W100" s="646"/>
      <c r="X100" s="646"/>
      <c r="Y100" s="646"/>
      <c r="Z100" s="646"/>
      <c r="AA100" s="646"/>
      <c r="AB100" s="646"/>
      <c r="AC100" s="647"/>
      <c r="AD100" s="485" t="s">
        <v>762</v>
      </c>
      <c r="AE100" s="484"/>
      <c r="AF100" s="645"/>
      <c r="AG100" s="646"/>
      <c r="AH100" s="646"/>
      <c r="AI100" s="646"/>
      <c r="AJ100" s="646"/>
      <c r="AK100" s="697" t="s">
        <v>767</v>
      </c>
      <c r="AL100" s="646"/>
      <c r="AM100" s="646"/>
      <c r="AN100" s="646"/>
      <c r="AO100" s="565"/>
      <c r="AP100" s="565"/>
      <c r="AQ100" s="565"/>
      <c r="AR100" s="565"/>
      <c r="AS100" s="565"/>
      <c r="AT100" s="565"/>
      <c r="AU100" s="565"/>
      <c r="AV100" s="565"/>
      <c r="AW100" s="565"/>
      <c r="AX100" s="565"/>
      <c r="AY100" s="565"/>
      <c r="AZ100" s="565"/>
      <c r="BA100" s="565"/>
      <c r="BB100" s="565"/>
      <c r="BC100" s="565"/>
      <c r="BD100" s="565"/>
      <c r="BE100" s="565"/>
      <c r="BF100" s="661"/>
      <c r="BR100" s="1019" t="s">
        <v>770</v>
      </c>
      <c r="BS100" s="1019" t="s">
        <v>477</v>
      </c>
      <c r="BT100" s="1019" t="s">
        <v>539</v>
      </c>
      <c r="BU100" s="1019" t="s">
        <v>793</v>
      </c>
    </row>
    <row r="101" spans="2:73" ht="12" x14ac:dyDescent="0.4">
      <c r="B101" s="125">
        <v>15</v>
      </c>
      <c r="C101" s="653"/>
      <c r="D101" s="565"/>
      <c r="E101" s="565"/>
      <c r="F101" s="565"/>
      <c r="G101" s="565"/>
      <c r="H101" s="565"/>
      <c r="I101" s="565"/>
      <c r="J101" s="565"/>
      <c r="K101" s="565"/>
      <c r="L101" s="565"/>
      <c r="M101" s="565"/>
      <c r="N101" s="565"/>
      <c r="O101" s="565"/>
      <c r="P101" s="565"/>
      <c r="Q101" s="565"/>
      <c r="R101" s="565"/>
      <c r="S101" s="565"/>
      <c r="T101" s="565"/>
      <c r="U101" s="565"/>
      <c r="V101" s="565"/>
      <c r="W101" s="565"/>
      <c r="X101" s="565"/>
      <c r="Y101" s="565"/>
      <c r="Z101" s="565"/>
      <c r="AA101" s="565"/>
      <c r="AB101" s="565"/>
      <c r="AC101" s="565"/>
      <c r="AD101" s="1062" t="str">
        <f>IF($AB$3="ON","↑","")</f>
        <v>↑</v>
      </c>
      <c r="AE101" s="646"/>
      <c r="AF101" s="565"/>
      <c r="AG101" s="565"/>
      <c r="AH101" s="565"/>
      <c r="AI101" s="565"/>
      <c r="AJ101" s="565"/>
      <c r="AK101" s="565"/>
      <c r="AL101" s="565"/>
      <c r="AM101" s="565"/>
      <c r="AN101" s="565"/>
      <c r="AO101" s="565"/>
      <c r="AP101" s="565"/>
      <c r="AQ101" s="565"/>
      <c r="AR101" s="565"/>
      <c r="AS101" s="565"/>
      <c r="AT101" s="565"/>
      <c r="AU101" s="565"/>
      <c r="AV101" s="565"/>
      <c r="AW101" s="565"/>
      <c r="AX101" s="565"/>
      <c r="AY101" s="565"/>
      <c r="AZ101" s="565"/>
      <c r="BA101" s="565"/>
      <c r="BB101" s="565"/>
      <c r="BC101" s="565"/>
      <c r="BD101" s="565"/>
      <c r="BE101" s="565"/>
      <c r="BF101" s="661"/>
      <c r="BR101" s="1019" t="s">
        <v>770</v>
      </c>
      <c r="BS101" s="1019" t="s">
        <v>477</v>
      </c>
      <c r="BT101" s="1019" t="s">
        <v>539</v>
      </c>
      <c r="BU101" s="1019" t="s">
        <v>794</v>
      </c>
    </row>
    <row r="102" spans="2:73" ht="12" x14ac:dyDescent="0.4">
      <c r="C102" s="653"/>
      <c r="D102" s="565"/>
      <c r="E102" s="565"/>
      <c r="F102" s="565"/>
      <c r="G102" s="565"/>
      <c r="H102" s="565"/>
      <c r="I102" s="565"/>
      <c r="J102" s="565"/>
      <c r="K102" s="565"/>
      <c r="L102" s="565"/>
      <c r="M102" s="565"/>
      <c r="N102" s="565"/>
      <c r="O102" s="565"/>
      <c r="P102" s="565"/>
      <c r="Q102" s="565"/>
      <c r="R102" s="565"/>
      <c r="S102" s="565"/>
      <c r="T102" s="565"/>
      <c r="U102" s="565"/>
      <c r="V102" s="565"/>
      <c r="W102" s="565"/>
      <c r="X102" s="565"/>
      <c r="Y102" s="565"/>
      <c r="Z102" s="565"/>
      <c r="AA102" s="565"/>
      <c r="AB102" s="1058" t="str">
        <f>IF($AB$3="ON","→","")</f>
        <v>→</v>
      </c>
      <c r="AC102" s="1058" t="str">
        <f>IF($AB$3="ON","→","")</f>
        <v>→</v>
      </c>
      <c r="AD102" s="1058" t="str">
        <f>IF($AB$3="ON","↑","")</f>
        <v>↑</v>
      </c>
      <c r="AE102" s="565"/>
      <c r="AF102" s="565"/>
      <c r="AG102" s="650"/>
      <c r="AH102" s="650"/>
      <c r="AI102" s="650"/>
      <c r="AJ102" s="565"/>
      <c r="AK102" s="565"/>
      <c r="AL102" s="565"/>
      <c r="AM102" s="565"/>
      <c r="AN102" s="565"/>
      <c r="AO102" s="565"/>
      <c r="AP102" s="565"/>
      <c r="AQ102" s="565"/>
      <c r="AR102" s="565"/>
      <c r="AS102" s="565"/>
      <c r="AT102" s="565"/>
      <c r="AU102" s="565"/>
      <c r="AV102" s="565"/>
      <c r="AW102" s="565"/>
      <c r="AX102" s="565"/>
      <c r="AY102" s="565"/>
      <c r="AZ102" s="565"/>
      <c r="BA102" s="565"/>
      <c r="BB102" s="565"/>
      <c r="BC102" s="565"/>
      <c r="BD102" s="565"/>
      <c r="BE102" s="565"/>
      <c r="BF102" s="661"/>
      <c r="BR102" s="1019" t="s">
        <v>96</v>
      </c>
      <c r="BS102" s="1019" t="s">
        <v>96</v>
      </c>
      <c r="BT102" s="1019" t="s">
        <v>539</v>
      </c>
      <c r="BU102" s="1019" t="s">
        <v>795</v>
      </c>
    </row>
    <row r="103" spans="2:73" ht="12" x14ac:dyDescent="0.4">
      <c r="C103" s="653"/>
      <c r="D103" s="565"/>
      <c r="E103" s="565"/>
      <c r="F103" s="565"/>
      <c r="G103" s="565"/>
      <c r="H103" s="565"/>
      <c r="I103" s="565"/>
      <c r="J103" s="565"/>
      <c r="K103" s="565"/>
      <c r="L103" s="565"/>
      <c r="M103" s="565"/>
      <c r="N103" s="565"/>
      <c r="O103" s="565"/>
      <c r="P103" s="565"/>
      <c r="Q103" s="565"/>
      <c r="R103" s="565"/>
      <c r="S103" s="565"/>
      <c r="T103" s="565"/>
      <c r="U103" s="565"/>
      <c r="V103" s="565"/>
      <c r="W103" s="565"/>
      <c r="X103" s="565"/>
      <c r="Y103" s="565"/>
      <c r="Z103" s="565"/>
      <c r="AA103" s="565"/>
      <c r="AB103" s="1058" t="str">
        <f t="shared" ref="AB103:AB124" si="3">IF($AB$3="ON","↑","")</f>
        <v>↑</v>
      </c>
      <c r="AC103" s="565"/>
      <c r="AD103" s="565"/>
      <c r="AE103" s="565"/>
      <c r="AF103" s="574"/>
      <c r="AG103" s="386" t="s">
        <v>466</v>
      </c>
      <c r="AH103" s="181"/>
      <c r="AI103" s="184"/>
      <c r="AJ103" s="648"/>
      <c r="AK103" s="565"/>
      <c r="AL103" s="565"/>
      <c r="AM103" s="565"/>
      <c r="AN103" s="565"/>
      <c r="AO103" s="565"/>
      <c r="AP103" s="565"/>
      <c r="AQ103" s="565"/>
      <c r="AR103" s="565"/>
      <c r="AS103" s="565"/>
      <c r="AT103" s="565"/>
      <c r="AU103" s="565"/>
      <c r="AV103" s="565"/>
      <c r="AW103" s="565"/>
      <c r="AX103" s="565"/>
      <c r="AY103" s="565"/>
      <c r="AZ103" s="565"/>
      <c r="BA103" s="565"/>
      <c r="BB103" s="565"/>
      <c r="BC103" s="565"/>
      <c r="BD103" s="565"/>
      <c r="BE103" s="565"/>
      <c r="BF103" s="661"/>
      <c r="BR103" s="1019" t="s">
        <v>96</v>
      </c>
      <c r="BS103" s="1019" t="s">
        <v>96</v>
      </c>
      <c r="BT103" s="1019" t="s">
        <v>539</v>
      </c>
      <c r="BU103" s="1019" t="s">
        <v>796</v>
      </c>
    </row>
    <row r="104" spans="2:73" ht="12" x14ac:dyDescent="0.4">
      <c r="C104" s="653"/>
      <c r="D104" s="565"/>
      <c r="E104" s="565"/>
      <c r="F104" s="565"/>
      <c r="G104" s="565"/>
      <c r="H104" s="565"/>
      <c r="I104" s="565"/>
      <c r="J104" s="565"/>
      <c r="K104" s="565"/>
      <c r="L104" s="565"/>
      <c r="M104" s="565"/>
      <c r="N104" s="565"/>
      <c r="O104" s="565"/>
      <c r="P104" s="565"/>
      <c r="Q104" s="565"/>
      <c r="R104" s="565"/>
      <c r="S104" s="565"/>
      <c r="T104" s="565"/>
      <c r="U104" s="565"/>
      <c r="V104" s="565"/>
      <c r="W104" s="565"/>
      <c r="X104" s="565"/>
      <c r="Y104" s="565"/>
      <c r="Z104" s="565"/>
      <c r="AA104" s="565"/>
      <c r="AB104" s="1058" t="str">
        <f t="shared" si="3"/>
        <v>↑</v>
      </c>
      <c r="AC104" s="565"/>
      <c r="AD104" s="565"/>
      <c r="AE104" s="565"/>
      <c r="AF104" s="565"/>
      <c r="AG104" s="646"/>
      <c r="AH104" s="646"/>
      <c r="AI104" s="646"/>
      <c r="AJ104" s="565"/>
      <c r="AK104" s="565"/>
      <c r="AL104" s="565"/>
      <c r="AM104" s="565"/>
      <c r="AN104" s="565"/>
      <c r="AO104" s="565"/>
      <c r="AP104" s="565"/>
      <c r="AQ104" s="565"/>
      <c r="AR104" s="565"/>
      <c r="AS104" s="565"/>
      <c r="AT104" s="565"/>
      <c r="AU104" s="565"/>
      <c r="AV104" s="565"/>
      <c r="AW104" s="565"/>
      <c r="AX104" s="565"/>
      <c r="AY104" s="565"/>
      <c r="AZ104" s="565"/>
      <c r="BA104" s="565"/>
      <c r="BB104" s="565"/>
      <c r="BC104" s="565"/>
      <c r="BD104" s="565"/>
      <c r="BE104" s="565"/>
      <c r="BF104" s="661"/>
      <c r="BR104" s="1019" t="s">
        <v>96</v>
      </c>
      <c r="BS104" s="1019" t="s">
        <v>96</v>
      </c>
      <c r="BT104" s="1019" t="s">
        <v>539</v>
      </c>
      <c r="BU104" s="1019" t="s">
        <v>797</v>
      </c>
    </row>
    <row r="105" spans="2:73" ht="12" x14ac:dyDescent="0.4">
      <c r="C105" s="653"/>
      <c r="D105" s="565"/>
      <c r="E105" s="565"/>
      <c r="F105" s="565"/>
      <c r="G105" s="565"/>
      <c r="H105" s="565"/>
      <c r="I105" s="565"/>
      <c r="J105" s="565"/>
      <c r="K105" s="565"/>
      <c r="L105" s="565"/>
      <c r="M105" s="650"/>
      <c r="N105" s="650"/>
      <c r="O105" s="650"/>
      <c r="P105" s="650"/>
      <c r="Q105" s="650"/>
      <c r="R105" s="650"/>
      <c r="S105" s="650"/>
      <c r="T105" s="650"/>
      <c r="U105" s="650"/>
      <c r="V105" s="650"/>
      <c r="W105" s="650"/>
      <c r="X105" s="650"/>
      <c r="Y105" s="565"/>
      <c r="Z105" s="565"/>
      <c r="AA105" s="565"/>
      <c r="AB105" s="1058" t="str">
        <f t="shared" si="3"/>
        <v>↑</v>
      </c>
      <c r="AC105" s="565"/>
      <c r="AD105" s="565"/>
      <c r="AE105" s="565"/>
      <c r="AF105" s="565"/>
      <c r="AG105" s="565"/>
      <c r="AH105" s="565"/>
      <c r="AI105" s="565"/>
      <c r="AJ105" s="565"/>
      <c r="AK105" s="565"/>
      <c r="AL105" s="565"/>
      <c r="AM105" s="565"/>
      <c r="AN105" s="565"/>
      <c r="AO105" s="565"/>
      <c r="AP105" s="565"/>
      <c r="AQ105" s="650"/>
      <c r="AR105" s="650"/>
      <c r="AS105" s="650"/>
      <c r="AT105" s="650"/>
      <c r="AU105" s="650"/>
      <c r="AV105" s="650"/>
      <c r="AW105" s="650"/>
      <c r="AX105" s="650"/>
      <c r="AY105" s="565"/>
      <c r="AZ105" s="565"/>
      <c r="BA105" s="650"/>
      <c r="BB105" s="650"/>
      <c r="BC105" s="650"/>
      <c r="BD105" s="650"/>
      <c r="BE105" s="650"/>
      <c r="BF105" s="698"/>
      <c r="BR105" s="1019" t="s">
        <v>96</v>
      </c>
      <c r="BS105" s="1019" t="s">
        <v>96</v>
      </c>
      <c r="BT105" s="1019" t="s">
        <v>539</v>
      </c>
      <c r="BU105" s="1019" t="s">
        <v>798</v>
      </c>
    </row>
    <row r="106" spans="2:73" ht="12" x14ac:dyDescent="0.4">
      <c r="B106" s="125">
        <v>20</v>
      </c>
      <c r="C106" s="653"/>
      <c r="D106" s="565"/>
      <c r="E106" s="565"/>
      <c r="F106" s="565"/>
      <c r="G106" s="565"/>
      <c r="H106" s="565"/>
      <c r="I106" s="565"/>
      <c r="J106" s="565"/>
      <c r="K106" s="565"/>
      <c r="L106" s="574"/>
      <c r="M106" s="682" t="s">
        <v>763</v>
      </c>
      <c r="N106" s="676"/>
      <c r="O106" s="676"/>
      <c r="P106" s="676"/>
      <c r="Q106" s="676"/>
      <c r="R106" s="676"/>
      <c r="S106" s="676"/>
      <c r="T106" s="676"/>
      <c r="U106" s="676"/>
      <c r="V106" s="676"/>
      <c r="W106" s="676"/>
      <c r="X106" s="679"/>
      <c r="Y106" s="648"/>
      <c r="Z106" s="565"/>
      <c r="AA106" s="565"/>
      <c r="AB106" s="1058" t="str">
        <f t="shared" si="3"/>
        <v>↑</v>
      </c>
      <c r="AC106" s="565"/>
      <c r="AD106" s="565"/>
      <c r="AE106" s="565"/>
      <c r="AF106" s="565"/>
      <c r="AG106" s="565"/>
      <c r="AH106" s="565"/>
      <c r="AI106" s="565"/>
      <c r="AJ106" s="565"/>
      <c r="AK106" s="565"/>
      <c r="AL106" s="565"/>
      <c r="AM106" s="565"/>
      <c r="AN106" s="565"/>
      <c r="AO106" s="565"/>
      <c r="AP106" s="574"/>
      <c r="AQ106" s="696" t="s">
        <v>766</v>
      </c>
      <c r="AR106" s="690"/>
      <c r="AS106" s="690"/>
      <c r="AT106" s="690"/>
      <c r="AU106" s="690"/>
      <c r="AV106" s="690"/>
      <c r="AW106" s="690"/>
      <c r="AX106" s="693"/>
      <c r="AY106" s="648"/>
      <c r="AZ106" s="574"/>
      <c r="BA106" s="514" t="s">
        <v>769</v>
      </c>
      <c r="BB106" s="145"/>
      <c r="BC106" s="145"/>
      <c r="BD106" s="145"/>
      <c r="BE106" s="145"/>
      <c r="BF106" s="511"/>
      <c r="BR106" s="1019" t="s">
        <v>771</v>
      </c>
      <c r="BS106" s="1019" t="s">
        <v>488</v>
      </c>
      <c r="BT106" s="1019" t="s">
        <v>539</v>
      </c>
      <c r="BU106" s="1019" t="s">
        <v>799</v>
      </c>
    </row>
    <row r="107" spans="2:73" ht="12" x14ac:dyDescent="0.4">
      <c r="C107" s="653"/>
      <c r="D107" s="565"/>
      <c r="E107" s="565"/>
      <c r="F107" s="565"/>
      <c r="G107" s="565"/>
      <c r="H107" s="565"/>
      <c r="I107" s="565"/>
      <c r="J107" s="565"/>
      <c r="K107" s="565"/>
      <c r="L107" s="574"/>
      <c r="M107" s="675"/>
      <c r="N107" s="674"/>
      <c r="O107" s="674"/>
      <c r="P107" s="674"/>
      <c r="Q107" s="674"/>
      <c r="R107" s="674"/>
      <c r="S107" s="674"/>
      <c r="T107" s="674"/>
      <c r="U107" s="674"/>
      <c r="V107" s="674"/>
      <c r="W107" s="674"/>
      <c r="X107" s="680"/>
      <c r="Y107" s="648"/>
      <c r="Z107" s="565"/>
      <c r="AA107" s="565"/>
      <c r="AB107" s="1058" t="str">
        <f t="shared" si="3"/>
        <v>↑</v>
      </c>
      <c r="AC107" s="565"/>
      <c r="AD107" s="565"/>
      <c r="AE107" s="565"/>
      <c r="AF107" s="565"/>
      <c r="AG107" s="565"/>
      <c r="AH107" s="565"/>
      <c r="AI107" s="565"/>
      <c r="AJ107" s="565"/>
      <c r="AK107" s="565"/>
      <c r="AL107" s="565"/>
      <c r="AM107" s="565"/>
      <c r="AN107" s="565"/>
      <c r="AO107" s="565"/>
      <c r="AP107" s="574"/>
      <c r="AQ107" s="689"/>
      <c r="AR107" s="688"/>
      <c r="AS107" s="688"/>
      <c r="AT107" s="688"/>
      <c r="AU107" s="688"/>
      <c r="AV107" s="688"/>
      <c r="AW107" s="688"/>
      <c r="AX107" s="694"/>
      <c r="AY107" s="648"/>
      <c r="AZ107" s="574"/>
      <c r="BA107" s="154"/>
      <c r="BB107" s="150"/>
      <c r="BC107" s="150"/>
      <c r="BD107" s="150"/>
      <c r="BE107" s="150"/>
      <c r="BF107" s="512"/>
      <c r="BR107" s="1019" t="s">
        <v>508</v>
      </c>
      <c r="BS107" s="1019" t="s">
        <v>486</v>
      </c>
      <c r="BT107" s="1019" t="s">
        <v>569</v>
      </c>
      <c r="BU107" s="1019" t="s">
        <v>800</v>
      </c>
    </row>
    <row r="108" spans="2:73" ht="12" x14ac:dyDescent="0.4">
      <c r="C108" s="653"/>
      <c r="D108" s="565"/>
      <c r="E108" s="565"/>
      <c r="F108" s="565"/>
      <c r="G108" s="565"/>
      <c r="H108" s="565"/>
      <c r="I108" s="565"/>
      <c r="J108" s="565"/>
      <c r="K108" s="565"/>
      <c r="L108" s="574"/>
      <c r="M108" s="675"/>
      <c r="N108" s="674"/>
      <c r="O108" s="674"/>
      <c r="P108" s="674"/>
      <c r="Q108" s="674"/>
      <c r="R108" s="674"/>
      <c r="S108" s="674"/>
      <c r="T108" s="674"/>
      <c r="U108" s="674"/>
      <c r="V108" s="674"/>
      <c r="W108" s="674"/>
      <c r="X108" s="680"/>
      <c r="Y108" s="648"/>
      <c r="Z108" s="565"/>
      <c r="AA108" s="565"/>
      <c r="AB108" s="1058" t="str">
        <f t="shared" si="3"/>
        <v>↑</v>
      </c>
      <c r="AC108" s="565"/>
      <c r="AD108" s="565"/>
      <c r="AE108" s="565"/>
      <c r="AF108" s="565"/>
      <c r="AG108" s="195" t="s">
        <v>96</v>
      </c>
      <c r="AH108" s="565"/>
      <c r="AI108" s="565"/>
      <c r="AJ108" s="565"/>
      <c r="AK108" s="565"/>
      <c r="AL108" s="565"/>
      <c r="AM108" s="565"/>
      <c r="AN108" s="565"/>
      <c r="AO108" s="565"/>
      <c r="AP108" s="574"/>
      <c r="AQ108" s="689"/>
      <c r="AR108" s="688"/>
      <c r="AS108" s="688"/>
      <c r="AT108" s="688"/>
      <c r="AU108" s="688"/>
      <c r="AV108" s="688"/>
      <c r="AW108" s="688"/>
      <c r="AX108" s="694"/>
      <c r="AY108" s="648"/>
      <c r="AZ108" s="574"/>
      <c r="BA108" s="154"/>
      <c r="BB108" s="150"/>
      <c r="BC108" s="150"/>
      <c r="BD108" s="150"/>
      <c r="BE108" s="150"/>
      <c r="BF108" s="512"/>
    </row>
    <row r="109" spans="2:73" ht="12" x14ac:dyDescent="0.4">
      <c r="C109" s="653"/>
      <c r="D109" s="565"/>
      <c r="E109" s="565"/>
      <c r="F109" s="565"/>
      <c r="G109" s="565"/>
      <c r="H109" s="565"/>
      <c r="I109" s="565"/>
      <c r="J109" s="565"/>
      <c r="K109" s="565"/>
      <c r="L109" s="574"/>
      <c r="M109" s="675"/>
      <c r="N109" s="674"/>
      <c r="O109" s="674"/>
      <c r="P109" s="674"/>
      <c r="Q109" s="674"/>
      <c r="R109" s="674"/>
      <c r="S109" s="674"/>
      <c r="T109" s="674"/>
      <c r="U109" s="674"/>
      <c r="V109" s="674"/>
      <c r="W109" s="674"/>
      <c r="X109" s="680"/>
      <c r="Y109" s="648"/>
      <c r="Z109" s="565"/>
      <c r="AA109" s="565"/>
      <c r="AB109" s="1058" t="str">
        <f t="shared" si="3"/>
        <v>↑</v>
      </c>
      <c r="AC109" s="565"/>
      <c r="AD109" s="565"/>
      <c r="AE109" s="565"/>
      <c r="AF109" s="565"/>
      <c r="AG109" s="565"/>
      <c r="AH109" s="565"/>
      <c r="AI109" s="565"/>
      <c r="AJ109" s="565"/>
      <c r="AK109" s="565"/>
      <c r="AL109" s="565"/>
      <c r="AM109" s="565"/>
      <c r="AN109" s="565"/>
      <c r="AO109" s="565"/>
      <c r="AP109" s="574"/>
      <c r="AQ109" s="689"/>
      <c r="AR109" s="688"/>
      <c r="AS109" s="688"/>
      <c r="AT109" s="688"/>
      <c r="AU109" s="688"/>
      <c r="AV109" s="688"/>
      <c r="AW109" s="688"/>
      <c r="AX109" s="694"/>
      <c r="AY109" s="648"/>
      <c r="AZ109" s="574"/>
      <c r="BA109" s="154"/>
      <c r="BB109" s="150"/>
      <c r="BC109" s="150"/>
      <c r="BD109" s="150"/>
      <c r="BE109" s="150"/>
      <c r="BF109" s="512"/>
    </row>
    <row r="110" spans="2:73" ht="12" x14ac:dyDescent="0.4">
      <c r="C110" s="653"/>
      <c r="D110" s="565"/>
      <c r="E110" s="565"/>
      <c r="F110" s="565"/>
      <c r="G110" s="565"/>
      <c r="H110" s="565"/>
      <c r="I110" s="565"/>
      <c r="J110" s="565"/>
      <c r="K110" s="565"/>
      <c r="L110" s="574"/>
      <c r="M110" s="675"/>
      <c r="N110" s="674"/>
      <c r="O110" s="674"/>
      <c r="P110" s="674"/>
      <c r="Q110" s="195" t="s">
        <v>96</v>
      </c>
      <c r="R110" s="674"/>
      <c r="S110" s="674"/>
      <c r="T110" s="674"/>
      <c r="U110" s="674"/>
      <c r="V110" s="674"/>
      <c r="W110" s="674"/>
      <c r="X110" s="680"/>
      <c r="Y110" s="648"/>
      <c r="Z110" s="565"/>
      <c r="AA110" s="565"/>
      <c r="AB110" s="1058" t="str">
        <f t="shared" si="3"/>
        <v>↑</v>
      </c>
      <c r="AC110" s="565"/>
      <c r="AD110" s="565"/>
      <c r="AE110" s="565"/>
      <c r="AF110" s="565"/>
      <c r="AG110" s="565"/>
      <c r="AH110" s="565"/>
      <c r="AI110" s="565"/>
      <c r="AJ110" s="565"/>
      <c r="AK110" s="565"/>
      <c r="AL110" s="565"/>
      <c r="AM110" s="565"/>
      <c r="AN110" s="565"/>
      <c r="AO110" s="565"/>
      <c r="AP110" s="574"/>
      <c r="AQ110" s="691"/>
      <c r="AR110" s="692"/>
      <c r="AS110" s="692"/>
      <c r="AT110" s="692"/>
      <c r="AU110" s="692"/>
      <c r="AV110" s="692"/>
      <c r="AW110" s="692"/>
      <c r="AX110" s="695"/>
      <c r="AY110" s="648"/>
      <c r="AZ110" s="574"/>
      <c r="BA110" s="154"/>
      <c r="BB110" s="150"/>
      <c r="BC110" s="150"/>
      <c r="BD110" s="150"/>
      <c r="BE110" s="150"/>
      <c r="BF110" s="512"/>
    </row>
    <row r="111" spans="2:73" ht="12" x14ac:dyDescent="0.4">
      <c r="B111" s="125">
        <v>25</v>
      </c>
      <c r="C111" s="653"/>
      <c r="D111" s="565"/>
      <c r="E111" s="565"/>
      <c r="F111" s="565"/>
      <c r="G111" s="565"/>
      <c r="H111" s="565"/>
      <c r="I111" s="565"/>
      <c r="J111" s="565"/>
      <c r="K111" s="565"/>
      <c r="L111" s="574"/>
      <c r="M111" s="675"/>
      <c r="N111" s="674"/>
      <c r="O111" s="674"/>
      <c r="P111" s="674"/>
      <c r="Q111" s="674"/>
      <c r="R111" s="674"/>
      <c r="S111" s="674"/>
      <c r="T111" s="674"/>
      <c r="U111" s="674"/>
      <c r="V111" s="674"/>
      <c r="W111" s="674"/>
      <c r="X111" s="680"/>
      <c r="Y111" s="648"/>
      <c r="Z111" s="565"/>
      <c r="AA111" s="565"/>
      <c r="AB111" s="1058" t="str">
        <f t="shared" si="3"/>
        <v>↑</v>
      </c>
      <c r="AC111" s="565"/>
      <c r="AD111" s="565"/>
      <c r="AE111" s="565"/>
      <c r="AF111" s="565"/>
      <c r="AG111" s="565"/>
      <c r="AH111" s="565"/>
      <c r="AI111" s="565"/>
      <c r="AJ111" s="565"/>
      <c r="AK111" s="565"/>
      <c r="AL111" s="565"/>
      <c r="AM111" s="565"/>
      <c r="AN111" s="565"/>
      <c r="AO111" s="565"/>
      <c r="AP111" s="565"/>
      <c r="AQ111" s="646"/>
      <c r="AR111" s="646"/>
      <c r="AS111" s="646"/>
      <c r="AT111" s="646"/>
      <c r="AU111" s="646"/>
      <c r="AV111" s="646"/>
      <c r="AW111" s="646"/>
      <c r="AX111" s="646"/>
      <c r="AY111" s="565"/>
      <c r="AZ111" s="574"/>
      <c r="BA111" s="154"/>
      <c r="BB111" s="150"/>
      <c r="BC111" s="150"/>
      <c r="BD111" s="150"/>
      <c r="BE111" s="150"/>
      <c r="BF111" s="512"/>
    </row>
    <row r="112" spans="2:73" ht="12" x14ac:dyDescent="0.4">
      <c r="C112" s="653"/>
      <c r="D112" s="565"/>
      <c r="E112" s="565"/>
      <c r="F112" s="565"/>
      <c r="G112" s="565"/>
      <c r="H112" s="565"/>
      <c r="I112" s="565"/>
      <c r="J112" s="565"/>
      <c r="K112" s="565"/>
      <c r="L112" s="574"/>
      <c r="M112" s="675"/>
      <c r="N112" s="674"/>
      <c r="O112" s="674"/>
      <c r="P112" s="674"/>
      <c r="Q112" s="674"/>
      <c r="R112" s="674"/>
      <c r="S112" s="674"/>
      <c r="T112" s="674"/>
      <c r="U112" s="674"/>
      <c r="V112" s="674"/>
      <c r="W112" s="674"/>
      <c r="X112" s="680"/>
      <c r="Y112" s="648"/>
      <c r="Z112" s="565"/>
      <c r="AA112" s="565"/>
      <c r="AB112" s="1058" t="str">
        <f t="shared" si="3"/>
        <v>↑</v>
      </c>
      <c r="AC112" s="565"/>
      <c r="AD112" s="565"/>
      <c r="AE112" s="565"/>
      <c r="AF112" s="565"/>
      <c r="AG112" s="565"/>
      <c r="AH112" s="565"/>
      <c r="AI112" s="565"/>
      <c r="AJ112" s="565"/>
      <c r="AK112" s="195" t="s">
        <v>96</v>
      </c>
      <c r="AL112" s="565"/>
      <c r="AM112" s="565"/>
      <c r="AN112" s="565"/>
      <c r="AO112" s="565"/>
      <c r="AP112" s="565"/>
      <c r="AQ112" s="650"/>
      <c r="AR112" s="650"/>
      <c r="AS112" s="650"/>
      <c r="AT112" s="650"/>
      <c r="AU112" s="650"/>
      <c r="AV112" s="650"/>
      <c r="AW112" s="650"/>
      <c r="AX112" s="650"/>
      <c r="AY112" s="565"/>
      <c r="AZ112" s="574"/>
      <c r="BA112" s="154"/>
      <c r="BB112" s="150"/>
      <c r="BC112" s="150"/>
      <c r="BD112" s="150"/>
      <c r="BE112" s="150"/>
      <c r="BF112" s="512"/>
    </row>
    <row r="113" spans="2:58" ht="12" x14ac:dyDescent="0.4">
      <c r="C113" s="653"/>
      <c r="D113" s="565"/>
      <c r="E113" s="565"/>
      <c r="F113" s="565"/>
      <c r="G113" s="565"/>
      <c r="H113" s="565"/>
      <c r="I113" s="565"/>
      <c r="J113" s="565"/>
      <c r="K113" s="565"/>
      <c r="L113" s="574"/>
      <c r="M113" s="675"/>
      <c r="N113" s="674"/>
      <c r="O113" s="674"/>
      <c r="P113" s="674"/>
      <c r="Q113" s="674"/>
      <c r="R113" s="674"/>
      <c r="S113" s="674"/>
      <c r="T113" s="674"/>
      <c r="U113" s="674"/>
      <c r="V113" s="674"/>
      <c r="W113" s="674"/>
      <c r="X113" s="680"/>
      <c r="Y113" s="648"/>
      <c r="Z113" s="565"/>
      <c r="AA113" s="565"/>
      <c r="AB113" s="1058" t="str">
        <f t="shared" si="3"/>
        <v>↑</v>
      </c>
      <c r="AC113" s="565"/>
      <c r="AD113" s="565"/>
      <c r="AE113" s="565"/>
      <c r="AF113" s="565"/>
      <c r="AG113" s="565"/>
      <c r="AH113" s="565"/>
      <c r="AI113" s="565"/>
      <c r="AJ113" s="565"/>
      <c r="AK113" s="565"/>
      <c r="AL113" s="565"/>
      <c r="AM113" s="565"/>
      <c r="AN113" s="565"/>
      <c r="AO113" s="565"/>
      <c r="AP113" s="574"/>
      <c r="AQ113" s="696" t="s">
        <v>766</v>
      </c>
      <c r="AR113" s="690"/>
      <c r="AS113" s="690"/>
      <c r="AT113" s="690"/>
      <c r="AU113" s="690"/>
      <c r="AV113" s="690"/>
      <c r="AW113" s="690"/>
      <c r="AX113" s="693"/>
      <c r="AY113" s="648"/>
      <c r="AZ113" s="574"/>
      <c r="BA113" s="211"/>
      <c r="BB113" s="212"/>
      <c r="BC113" s="212"/>
      <c r="BD113" s="212"/>
      <c r="BE113" s="212"/>
      <c r="BF113" s="513"/>
    </row>
    <row r="114" spans="2:58" ht="12" x14ac:dyDescent="0.4">
      <c r="C114" s="653"/>
      <c r="D114" s="565"/>
      <c r="E114" s="565"/>
      <c r="F114" s="565"/>
      <c r="G114" s="565"/>
      <c r="H114" s="565"/>
      <c r="I114" s="565"/>
      <c r="J114" s="565"/>
      <c r="K114" s="565"/>
      <c r="L114" s="574"/>
      <c r="M114" s="675"/>
      <c r="N114" s="674"/>
      <c r="O114" s="674"/>
      <c r="P114" s="674"/>
      <c r="Q114" s="674"/>
      <c r="R114" s="674"/>
      <c r="S114" s="674"/>
      <c r="T114" s="674"/>
      <c r="U114" s="674"/>
      <c r="V114" s="674"/>
      <c r="W114" s="195" t="s">
        <v>96</v>
      </c>
      <c r="X114" s="680"/>
      <c r="Y114" s="648"/>
      <c r="Z114" s="565"/>
      <c r="AA114" s="565"/>
      <c r="AB114" s="1058" t="str">
        <f t="shared" si="3"/>
        <v>↑</v>
      </c>
      <c r="AC114" s="565"/>
      <c r="AD114" s="565"/>
      <c r="AE114" s="565"/>
      <c r="AF114" s="565"/>
      <c r="AG114" s="565"/>
      <c r="AH114" s="565"/>
      <c r="AI114" s="565"/>
      <c r="AJ114" s="565"/>
      <c r="AK114" s="565"/>
      <c r="AL114" s="565"/>
      <c r="AM114" s="565"/>
      <c r="AN114" s="565"/>
      <c r="AO114" s="565"/>
      <c r="AP114" s="574"/>
      <c r="AQ114" s="689"/>
      <c r="AR114" s="688"/>
      <c r="AS114" s="688"/>
      <c r="AT114" s="688"/>
      <c r="AU114" s="688"/>
      <c r="AV114" s="688"/>
      <c r="AW114" s="688"/>
      <c r="AX114" s="694"/>
      <c r="AY114" s="648"/>
      <c r="AZ114" s="574"/>
      <c r="BA114" s="700" t="s">
        <v>768</v>
      </c>
      <c r="BB114" s="394"/>
      <c r="BC114" s="394"/>
      <c r="BD114" s="394"/>
      <c r="BE114" s="394"/>
      <c r="BF114" s="701"/>
    </row>
    <row r="115" spans="2:58" ht="12" x14ac:dyDescent="0.4">
      <c r="C115" s="653"/>
      <c r="D115" s="565"/>
      <c r="E115" s="565"/>
      <c r="F115" s="565"/>
      <c r="G115" s="565"/>
      <c r="H115" s="565"/>
      <c r="I115" s="565"/>
      <c r="J115" s="565"/>
      <c r="K115" s="565"/>
      <c r="L115" s="574"/>
      <c r="M115" s="675"/>
      <c r="N115" s="674"/>
      <c r="O115" s="674"/>
      <c r="P115" s="674"/>
      <c r="Q115" s="674"/>
      <c r="R115" s="674"/>
      <c r="S115" s="674"/>
      <c r="T115" s="674"/>
      <c r="U115" s="674"/>
      <c r="V115" s="674"/>
      <c r="W115" s="674"/>
      <c r="X115" s="680"/>
      <c r="Y115" s="648"/>
      <c r="Z115" s="565"/>
      <c r="AA115" s="565"/>
      <c r="AB115" s="1058" t="str">
        <f t="shared" si="3"/>
        <v>↑</v>
      </c>
      <c r="AC115" s="650"/>
      <c r="AD115" s="650"/>
      <c r="AE115" s="650"/>
      <c r="AF115" s="565"/>
      <c r="AG115" s="565"/>
      <c r="AH115" s="565"/>
      <c r="AI115" s="565"/>
      <c r="AJ115" s="565"/>
      <c r="AK115" s="565"/>
      <c r="AL115" s="565"/>
      <c r="AM115" s="565"/>
      <c r="AN115" s="565"/>
      <c r="AO115" s="565"/>
      <c r="AP115" s="574"/>
      <c r="AQ115" s="689"/>
      <c r="AR115" s="688"/>
      <c r="AS115" s="688"/>
      <c r="AT115" s="688"/>
      <c r="AU115" s="688"/>
      <c r="AV115" s="688"/>
      <c r="AW115" s="688"/>
      <c r="AX115" s="694"/>
      <c r="AY115" s="648"/>
      <c r="AZ115" s="574"/>
      <c r="BA115" s="398"/>
      <c r="BB115" s="395"/>
      <c r="BC115" s="395"/>
      <c r="BD115" s="395"/>
      <c r="BE115" s="395"/>
      <c r="BF115" s="402"/>
    </row>
    <row r="116" spans="2:58" ht="12" x14ac:dyDescent="0.4">
      <c r="B116" s="125">
        <v>30</v>
      </c>
      <c r="C116" s="653"/>
      <c r="D116" s="565"/>
      <c r="E116" s="565"/>
      <c r="F116" s="565"/>
      <c r="G116" s="565"/>
      <c r="H116" s="565"/>
      <c r="I116" s="565"/>
      <c r="J116" s="565"/>
      <c r="K116" s="565"/>
      <c r="L116" s="574"/>
      <c r="M116" s="675"/>
      <c r="N116" s="674"/>
      <c r="O116" s="674"/>
      <c r="P116" s="674"/>
      <c r="Q116" s="674"/>
      <c r="R116" s="674"/>
      <c r="S116" s="674"/>
      <c r="T116" s="674"/>
      <c r="U116" s="674"/>
      <c r="V116" s="674"/>
      <c r="W116" s="674"/>
      <c r="X116" s="680"/>
      <c r="Y116" s="648"/>
      <c r="Z116" s="565"/>
      <c r="AA116" s="565"/>
      <c r="AB116" s="1059" t="str">
        <f t="shared" si="3"/>
        <v>↑</v>
      </c>
      <c r="AC116" s="386" t="s">
        <v>466</v>
      </c>
      <c r="AD116" s="181"/>
      <c r="AE116" s="184"/>
      <c r="AF116" s="648"/>
      <c r="AG116" s="565"/>
      <c r="AH116" s="565"/>
      <c r="AI116" s="565"/>
      <c r="AJ116" s="565"/>
      <c r="AK116" s="565"/>
      <c r="AL116" s="565"/>
      <c r="AM116" s="565"/>
      <c r="AN116" s="565"/>
      <c r="AO116" s="565"/>
      <c r="AP116" s="574"/>
      <c r="AQ116" s="689"/>
      <c r="AR116" s="688"/>
      <c r="AS116" s="688"/>
      <c r="AT116" s="688"/>
      <c r="AU116" s="688"/>
      <c r="AV116" s="688"/>
      <c r="AW116" s="688"/>
      <c r="AX116" s="694"/>
      <c r="AY116" s="648"/>
      <c r="AZ116" s="574"/>
      <c r="BA116" s="398"/>
      <c r="BB116" s="395"/>
      <c r="BC116" s="395"/>
      <c r="BD116" s="395"/>
      <c r="BE116" s="395"/>
      <c r="BF116" s="402"/>
    </row>
    <row r="117" spans="2:58" ht="12" x14ac:dyDescent="0.4">
      <c r="C117" s="653"/>
      <c r="D117" s="565"/>
      <c r="E117" s="565"/>
      <c r="F117" s="565"/>
      <c r="G117" s="565"/>
      <c r="H117" s="565"/>
      <c r="I117" s="565"/>
      <c r="J117" s="565"/>
      <c r="K117" s="565"/>
      <c r="L117" s="574"/>
      <c r="M117" s="677"/>
      <c r="N117" s="678"/>
      <c r="O117" s="678"/>
      <c r="P117" s="678"/>
      <c r="Q117" s="678"/>
      <c r="R117" s="678"/>
      <c r="S117" s="678"/>
      <c r="T117" s="678"/>
      <c r="U117" s="678"/>
      <c r="V117" s="678"/>
      <c r="W117" s="678"/>
      <c r="X117" s="681"/>
      <c r="Y117" s="648"/>
      <c r="Z117" s="565"/>
      <c r="AA117" s="565"/>
      <c r="AB117" s="1058" t="str">
        <f t="shared" si="3"/>
        <v>↑</v>
      </c>
      <c r="AC117" s="646"/>
      <c r="AD117" s="646"/>
      <c r="AE117" s="646"/>
      <c r="AF117" s="565"/>
      <c r="AG117" s="565"/>
      <c r="AH117" s="565"/>
      <c r="AI117" s="565"/>
      <c r="AJ117" s="565"/>
      <c r="AK117" s="565"/>
      <c r="AL117" s="565"/>
      <c r="AM117" s="565"/>
      <c r="AN117" s="565"/>
      <c r="AO117" s="565"/>
      <c r="AP117" s="574"/>
      <c r="AQ117" s="691"/>
      <c r="AR117" s="692"/>
      <c r="AS117" s="692"/>
      <c r="AT117" s="692"/>
      <c r="AU117" s="692"/>
      <c r="AV117" s="692"/>
      <c r="AW117" s="692"/>
      <c r="AX117" s="695"/>
      <c r="AY117" s="648"/>
      <c r="AZ117" s="574"/>
      <c r="BA117" s="398"/>
      <c r="BB117" s="395"/>
      <c r="BC117" s="395"/>
      <c r="BD117" s="395"/>
      <c r="BE117" s="395"/>
      <c r="BF117" s="402"/>
    </row>
    <row r="118" spans="2:58" ht="12" x14ac:dyDescent="0.4">
      <c r="C118" s="653"/>
      <c r="D118" s="565"/>
      <c r="E118" s="565"/>
      <c r="F118" s="565"/>
      <c r="G118" s="565"/>
      <c r="H118" s="565"/>
      <c r="I118" s="565"/>
      <c r="J118" s="565"/>
      <c r="K118" s="565"/>
      <c r="L118" s="565"/>
      <c r="M118" s="646"/>
      <c r="N118" s="646"/>
      <c r="O118" s="646"/>
      <c r="P118" s="646"/>
      <c r="Q118" s="646"/>
      <c r="R118" s="646"/>
      <c r="S118" s="646"/>
      <c r="T118" s="646"/>
      <c r="U118" s="646"/>
      <c r="V118" s="646"/>
      <c r="W118" s="646"/>
      <c r="X118" s="646"/>
      <c r="Y118" s="565"/>
      <c r="Z118" s="565"/>
      <c r="AA118" s="565"/>
      <c r="AB118" s="1058" t="str">
        <f t="shared" si="3"/>
        <v>↑</v>
      </c>
      <c r="AC118" s="565"/>
      <c r="AD118" s="565"/>
      <c r="AE118" s="565"/>
      <c r="AF118" s="565"/>
      <c r="AG118" s="565"/>
      <c r="AH118" s="565"/>
      <c r="AI118" s="565"/>
      <c r="AJ118" s="565"/>
      <c r="AK118" s="565"/>
      <c r="AL118" s="565"/>
      <c r="AM118" s="565"/>
      <c r="AN118" s="565"/>
      <c r="AO118" s="565"/>
      <c r="AP118" s="565"/>
      <c r="AQ118" s="646"/>
      <c r="AR118" s="646"/>
      <c r="AS118" s="646"/>
      <c r="AT118" s="646"/>
      <c r="AU118" s="646"/>
      <c r="AV118" s="646"/>
      <c r="AW118" s="646"/>
      <c r="AX118" s="646"/>
      <c r="AY118" s="565"/>
      <c r="AZ118" s="574"/>
      <c r="BA118" s="398"/>
      <c r="BB118" s="395"/>
      <c r="BC118" s="395"/>
      <c r="BD118" s="395"/>
      <c r="BE118" s="395"/>
      <c r="BF118" s="402"/>
    </row>
    <row r="119" spans="2:58" ht="12" x14ac:dyDescent="0.4">
      <c r="C119" s="653"/>
      <c r="D119" s="565"/>
      <c r="E119" s="565"/>
      <c r="F119" s="565"/>
      <c r="G119" s="565"/>
      <c r="H119" s="565"/>
      <c r="I119" s="565"/>
      <c r="J119" s="565"/>
      <c r="K119" s="650"/>
      <c r="L119" s="650"/>
      <c r="M119" s="650"/>
      <c r="N119" s="650"/>
      <c r="O119" s="650"/>
      <c r="P119" s="650"/>
      <c r="Q119" s="650"/>
      <c r="R119" s="650"/>
      <c r="S119" s="650"/>
      <c r="T119" s="650"/>
      <c r="U119" s="650"/>
      <c r="V119" s="650"/>
      <c r="W119" s="650"/>
      <c r="X119" s="650"/>
      <c r="Y119" s="650"/>
      <c r="Z119" s="650"/>
      <c r="AA119" s="565"/>
      <c r="AB119" s="1058" t="str">
        <f t="shared" si="3"/>
        <v>↑</v>
      </c>
      <c r="AC119" s="565"/>
      <c r="AD119" s="565"/>
      <c r="AE119" s="565"/>
      <c r="AF119" s="565"/>
      <c r="AG119" s="565"/>
      <c r="AH119" s="565"/>
      <c r="AI119" s="565"/>
      <c r="AJ119" s="565"/>
      <c r="AK119" s="565"/>
      <c r="AL119" s="565"/>
      <c r="AM119" s="565"/>
      <c r="AN119" s="565"/>
      <c r="AO119" s="565"/>
      <c r="AP119" s="565"/>
      <c r="AQ119" s="565"/>
      <c r="AR119" s="565"/>
      <c r="AS119" s="565"/>
      <c r="AT119" s="565"/>
      <c r="AU119" s="565"/>
      <c r="AV119" s="565"/>
      <c r="AW119" s="565"/>
      <c r="AX119" s="565"/>
      <c r="AY119" s="565"/>
      <c r="AZ119" s="574"/>
      <c r="BA119" s="398"/>
      <c r="BB119" s="395"/>
      <c r="BC119" s="395"/>
      <c r="BD119" s="395"/>
      <c r="BE119" s="395"/>
      <c r="BF119" s="402"/>
    </row>
    <row r="120" spans="2:58" ht="12" x14ac:dyDescent="0.4">
      <c r="C120" s="653"/>
      <c r="D120" s="565"/>
      <c r="E120" s="565"/>
      <c r="F120" s="565"/>
      <c r="G120" s="565"/>
      <c r="H120" s="565"/>
      <c r="I120" s="565"/>
      <c r="J120" s="574"/>
      <c r="K120" s="687" t="s">
        <v>471</v>
      </c>
      <c r="L120" s="627"/>
      <c r="M120" s="627"/>
      <c r="N120" s="627"/>
      <c r="O120" s="627"/>
      <c r="P120" s="627"/>
      <c r="Q120" s="627"/>
      <c r="R120" s="627"/>
      <c r="S120" s="627"/>
      <c r="T120" s="627"/>
      <c r="U120" s="627"/>
      <c r="V120" s="627"/>
      <c r="W120" s="627"/>
      <c r="X120" s="627"/>
      <c r="Y120" s="627"/>
      <c r="Z120" s="685"/>
      <c r="AA120" s="648"/>
      <c r="AB120" s="1058" t="str">
        <f t="shared" si="3"/>
        <v>↑</v>
      </c>
      <c r="AC120" s="565"/>
      <c r="AD120" s="565"/>
      <c r="AE120" s="565"/>
      <c r="AF120" s="565"/>
      <c r="AG120" s="565"/>
      <c r="AH120" s="565"/>
      <c r="AI120" s="565"/>
      <c r="AJ120" s="565"/>
      <c r="AK120" s="565"/>
      <c r="AL120" s="565"/>
      <c r="AM120" s="565"/>
      <c r="AN120" s="565"/>
      <c r="AO120" s="565"/>
      <c r="AP120" s="565"/>
      <c r="AQ120" s="565"/>
      <c r="AR120" s="565"/>
      <c r="AS120" s="565"/>
      <c r="AT120" s="565"/>
      <c r="AU120" s="195" t="s">
        <v>771</v>
      </c>
      <c r="AV120" s="565"/>
      <c r="AW120" s="565"/>
      <c r="AX120" s="565"/>
      <c r="AY120" s="565"/>
      <c r="AZ120" s="574"/>
      <c r="BA120" s="398"/>
      <c r="BB120" s="395"/>
      <c r="BC120" s="395"/>
      <c r="BD120" s="395"/>
      <c r="BE120" s="395"/>
      <c r="BF120" s="402"/>
    </row>
    <row r="121" spans="2:58" ht="12" x14ac:dyDescent="0.4">
      <c r="B121" s="125">
        <v>35</v>
      </c>
      <c r="C121" s="653"/>
      <c r="D121" s="565"/>
      <c r="E121" s="565"/>
      <c r="F121" s="565"/>
      <c r="G121" s="565"/>
      <c r="H121" s="565"/>
      <c r="I121" s="565"/>
      <c r="J121" s="574"/>
      <c r="K121" s="683"/>
      <c r="L121" s="684"/>
      <c r="M121" s="684"/>
      <c r="N121" s="684"/>
      <c r="O121" s="684"/>
      <c r="P121" s="684"/>
      <c r="Q121" s="684"/>
      <c r="R121" s="684"/>
      <c r="S121" s="684"/>
      <c r="T121" s="684"/>
      <c r="U121" s="684"/>
      <c r="V121" s="684"/>
      <c r="W121" s="684"/>
      <c r="X121" s="684"/>
      <c r="Y121" s="684"/>
      <c r="Z121" s="686"/>
      <c r="AA121" s="648"/>
      <c r="AB121" s="1058" t="str">
        <f t="shared" si="3"/>
        <v>↑</v>
      </c>
      <c r="AC121" s="650"/>
      <c r="AD121" s="650"/>
      <c r="AE121" s="650"/>
      <c r="AF121" s="565"/>
      <c r="AG121" s="565"/>
      <c r="AH121" s="565"/>
      <c r="AI121" s="565"/>
      <c r="AJ121" s="565"/>
      <c r="AK121" s="565"/>
      <c r="AL121" s="565"/>
      <c r="AM121" s="565"/>
      <c r="AN121" s="565"/>
      <c r="AO121" s="565"/>
      <c r="AP121" s="565"/>
      <c r="AQ121" s="565"/>
      <c r="AR121" s="565"/>
      <c r="AS121" s="565"/>
      <c r="AT121" s="565"/>
      <c r="AU121" s="565"/>
      <c r="AV121" s="565"/>
      <c r="AW121" s="565"/>
      <c r="AX121" s="565"/>
      <c r="AY121" s="565"/>
      <c r="AZ121" s="574"/>
      <c r="BA121" s="398"/>
      <c r="BB121" s="395"/>
      <c r="BC121" s="395"/>
      <c r="BD121" s="395"/>
      <c r="BE121" s="395"/>
      <c r="BF121" s="402"/>
    </row>
    <row r="122" spans="2:58" ht="12" x14ac:dyDescent="0.4">
      <c r="C122" s="653"/>
      <c r="D122" s="565"/>
      <c r="E122" s="565"/>
      <c r="F122" s="565"/>
      <c r="G122" s="565"/>
      <c r="H122" s="565"/>
      <c r="I122" s="565"/>
      <c r="J122" s="565"/>
      <c r="K122" s="646"/>
      <c r="L122" s="646"/>
      <c r="M122" s="646"/>
      <c r="N122" s="646"/>
      <c r="O122" s="646"/>
      <c r="P122" s="646"/>
      <c r="Q122" s="646"/>
      <c r="R122" s="646"/>
      <c r="S122" s="646"/>
      <c r="T122" s="646"/>
      <c r="U122" s="646"/>
      <c r="V122" s="646"/>
      <c r="W122" s="646"/>
      <c r="X122" s="646"/>
      <c r="Y122" s="646"/>
      <c r="Z122" s="646"/>
      <c r="AA122" s="565"/>
      <c r="AB122" s="1059" t="str">
        <f t="shared" si="3"/>
        <v>↑</v>
      </c>
      <c r="AC122" s="324" t="s">
        <v>764</v>
      </c>
      <c r="AD122" s="319"/>
      <c r="AE122" s="322"/>
      <c r="AF122" s="648"/>
      <c r="AG122" s="565"/>
      <c r="AH122" s="565"/>
      <c r="AI122" s="565"/>
      <c r="AJ122" s="565"/>
      <c r="AK122" s="565"/>
      <c r="AL122" s="565"/>
      <c r="AM122" s="565"/>
      <c r="AN122" s="565"/>
      <c r="AO122" s="565"/>
      <c r="AP122" s="565"/>
      <c r="AQ122" s="565"/>
      <c r="AR122" s="565"/>
      <c r="AS122" s="565"/>
      <c r="AT122" s="565"/>
      <c r="AU122" s="565"/>
      <c r="AV122" s="565"/>
      <c r="AW122" s="565"/>
      <c r="AX122" s="565"/>
      <c r="AY122" s="565"/>
      <c r="AZ122" s="574"/>
      <c r="BA122" s="398"/>
      <c r="BB122" s="395"/>
      <c r="BC122" s="395"/>
      <c r="BD122" s="395"/>
      <c r="BE122" s="395"/>
      <c r="BF122" s="402"/>
    </row>
    <row r="123" spans="2:58" ht="12" x14ac:dyDescent="0.4">
      <c r="C123" s="654"/>
      <c r="D123" s="565"/>
      <c r="E123" s="565"/>
      <c r="F123" s="565"/>
      <c r="G123" s="565"/>
      <c r="H123" s="565"/>
      <c r="I123" s="565"/>
      <c r="J123" s="565"/>
      <c r="K123" s="565"/>
      <c r="L123" s="565"/>
      <c r="M123" s="565"/>
      <c r="N123" s="565"/>
      <c r="O123" s="565"/>
      <c r="P123" s="565"/>
      <c r="Q123" s="650"/>
      <c r="R123" s="650"/>
      <c r="S123" s="650"/>
      <c r="T123" s="650"/>
      <c r="U123" s="650"/>
      <c r="V123" s="650"/>
      <c r="W123" s="650"/>
      <c r="X123" s="650"/>
      <c r="Y123" s="650"/>
      <c r="Z123" s="650"/>
      <c r="AA123" s="565"/>
      <c r="AB123" s="1059" t="str">
        <f t="shared" si="3"/>
        <v>↑</v>
      </c>
      <c r="AC123" s="320"/>
      <c r="AD123" s="321"/>
      <c r="AE123" s="323"/>
      <c r="AF123" s="648"/>
      <c r="AG123" s="565"/>
      <c r="AH123" s="565"/>
      <c r="AI123" s="565"/>
      <c r="AJ123" s="565"/>
      <c r="AK123" s="565"/>
      <c r="AL123" s="565"/>
      <c r="AM123" s="565"/>
      <c r="AN123" s="565"/>
      <c r="AO123" s="565"/>
      <c r="AP123" s="565"/>
      <c r="AQ123" s="565"/>
      <c r="AR123" s="565"/>
      <c r="AS123" s="565"/>
      <c r="AT123" s="565"/>
      <c r="AU123" s="565"/>
      <c r="AV123" s="565"/>
      <c r="AW123" s="565"/>
      <c r="AX123" s="565"/>
      <c r="AY123" s="565"/>
      <c r="AZ123" s="574"/>
      <c r="BA123" s="398"/>
      <c r="BB123" s="395"/>
      <c r="BC123" s="395"/>
      <c r="BD123" s="395"/>
      <c r="BE123" s="395"/>
      <c r="BF123" s="402"/>
    </row>
    <row r="124" spans="2:58" ht="12" x14ac:dyDescent="0.4">
      <c r="C124" s="579" t="s">
        <v>508</v>
      </c>
      <c r="D124" s="1057" t="str">
        <f t="shared" ref="D124:P124" si="4">IF($AB$3="ON","→","")</f>
        <v>→</v>
      </c>
      <c r="E124" s="1058" t="str">
        <f t="shared" si="4"/>
        <v>→</v>
      </c>
      <c r="F124" s="1058" t="str">
        <f t="shared" si="4"/>
        <v>→</v>
      </c>
      <c r="G124" s="1058" t="str">
        <f t="shared" si="4"/>
        <v>→</v>
      </c>
      <c r="H124" s="1058" t="str">
        <f t="shared" si="4"/>
        <v>→</v>
      </c>
      <c r="I124" s="1058" t="str">
        <f t="shared" si="4"/>
        <v>→</v>
      </c>
      <c r="J124" s="1058" t="str">
        <f t="shared" si="4"/>
        <v>→</v>
      </c>
      <c r="K124" s="1058" t="str">
        <f t="shared" si="4"/>
        <v>→</v>
      </c>
      <c r="L124" s="1058" t="str">
        <f t="shared" si="4"/>
        <v>→</v>
      </c>
      <c r="M124" s="1058" t="str">
        <f t="shared" si="4"/>
        <v>→</v>
      </c>
      <c r="N124" s="1058" t="str">
        <f t="shared" si="4"/>
        <v>→</v>
      </c>
      <c r="O124" s="1058" t="str">
        <f t="shared" si="4"/>
        <v>→</v>
      </c>
      <c r="P124" s="1059" t="str">
        <f t="shared" si="4"/>
        <v>→</v>
      </c>
      <c r="Q124" s="393" t="s">
        <v>765</v>
      </c>
      <c r="R124" s="391"/>
      <c r="S124" s="391"/>
      <c r="T124" s="391"/>
      <c r="U124" s="1060" t="str">
        <f t="shared" ref="U124:AA124" si="5">IF($AB$3="ON","→","")</f>
        <v>→</v>
      </c>
      <c r="V124" s="1060" t="str">
        <f t="shared" si="5"/>
        <v>→</v>
      </c>
      <c r="W124" s="1060" t="str">
        <f t="shared" si="5"/>
        <v>→</v>
      </c>
      <c r="X124" s="1060" t="str">
        <f t="shared" si="5"/>
        <v>→</v>
      </c>
      <c r="Y124" s="1060" t="str">
        <f t="shared" si="5"/>
        <v>→</v>
      </c>
      <c r="Z124" s="1061" t="str">
        <f t="shared" si="5"/>
        <v>→</v>
      </c>
      <c r="AA124" s="1057" t="str">
        <f t="shared" si="5"/>
        <v>→</v>
      </c>
      <c r="AB124" s="1058" t="str">
        <f t="shared" si="3"/>
        <v>↑</v>
      </c>
      <c r="AC124" s="646"/>
      <c r="AD124" s="646"/>
      <c r="AE124" s="646"/>
      <c r="AF124" s="565"/>
      <c r="AG124" s="565"/>
      <c r="AH124" s="565"/>
      <c r="AI124" s="565"/>
      <c r="AJ124" s="565"/>
      <c r="AK124" s="565"/>
      <c r="AL124" s="565"/>
      <c r="AM124" s="565"/>
      <c r="AN124" s="565"/>
      <c r="AO124" s="565"/>
      <c r="AP124" s="565"/>
      <c r="AQ124" s="565"/>
      <c r="AR124" s="565"/>
      <c r="AS124" s="565"/>
      <c r="AT124" s="565"/>
      <c r="AU124" s="565"/>
      <c r="AV124" s="565"/>
      <c r="AW124" s="565"/>
      <c r="AX124" s="565"/>
      <c r="AY124" s="565"/>
      <c r="AZ124" s="574"/>
      <c r="BA124" s="398"/>
      <c r="BB124" s="395"/>
      <c r="BC124" s="395"/>
      <c r="BD124" s="395"/>
      <c r="BE124" s="395"/>
      <c r="BF124" s="402"/>
    </row>
    <row r="125" spans="2:58" x14ac:dyDescent="0.4">
      <c r="C125" s="578"/>
      <c r="D125" s="648"/>
      <c r="E125" s="565"/>
      <c r="F125" s="565"/>
      <c r="G125" s="565"/>
      <c r="H125" s="565"/>
      <c r="I125" s="565"/>
      <c r="J125" s="565"/>
      <c r="K125" s="565"/>
      <c r="L125" s="565"/>
      <c r="M125" s="565"/>
      <c r="N125" s="565"/>
      <c r="O125" s="565"/>
      <c r="P125" s="565"/>
      <c r="Q125" s="646"/>
      <c r="R125" s="646"/>
      <c r="S125" s="646"/>
      <c r="T125" s="646"/>
      <c r="U125" s="646"/>
      <c r="V125" s="646"/>
      <c r="W125" s="646"/>
      <c r="X125" s="646"/>
      <c r="Y125" s="646"/>
      <c r="Z125" s="646"/>
      <c r="AA125" s="565"/>
      <c r="AB125" s="565"/>
      <c r="AC125" s="565"/>
      <c r="AD125" s="565"/>
      <c r="AE125" s="565"/>
      <c r="AF125" s="565"/>
      <c r="AG125" s="565"/>
      <c r="AH125" s="565"/>
      <c r="AI125" s="565"/>
      <c r="AJ125" s="565"/>
      <c r="AK125" s="565"/>
      <c r="AL125" s="565"/>
      <c r="AM125" s="565"/>
      <c r="AN125" s="565"/>
      <c r="AO125" s="565"/>
      <c r="AP125" s="565"/>
      <c r="AQ125" s="565"/>
      <c r="AR125" s="565"/>
      <c r="AS125" s="565"/>
      <c r="AT125" s="565"/>
      <c r="AU125" s="565"/>
      <c r="AV125" s="565"/>
      <c r="AW125" s="565"/>
      <c r="AX125" s="565"/>
      <c r="AY125" s="565"/>
      <c r="AZ125" s="574"/>
      <c r="BA125" s="399"/>
      <c r="BB125" s="400"/>
      <c r="BC125" s="400"/>
      <c r="BD125" s="400"/>
      <c r="BE125" s="400"/>
      <c r="BF125" s="403"/>
    </row>
    <row r="126" spans="2:58" x14ac:dyDescent="0.4">
      <c r="B126" s="125">
        <v>40</v>
      </c>
      <c r="C126" s="652"/>
      <c r="D126" s="565"/>
      <c r="E126" s="565"/>
      <c r="F126" s="565"/>
      <c r="G126" s="565"/>
      <c r="H126" s="565"/>
      <c r="I126" s="565"/>
      <c r="J126" s="565"/>
      <c r="K126" s="632" t="s">
        <v>770</v>
      </c>
      <c r="L126" s="565"/>
      <c r="M126" s="565"/>
      <c r="N126" s="565"/>
      <c r="O126" s="565"/>
      <c r="P126" s="565"/>
      <c r="Q126" s="565"/>
      <c r="R126" s="565"/>
      <c r="S126" s="565"/>
      <c r="T126" s="565"/>
      <c r="U126" s="565"/>
      <c r="V126" s="565"/>
      <c r="W126" s="565"/>
      <c r="X126" s="565"/>
      <c r="Y126" s="565"/>
      <c r="Z126" s="565"/>
      <c r="AA126" s="565"/>
      <c r="AB126" s="565"/>
      <c r="AC126" s="565"/>
      <c r="AD126" s="565"/>
      <c r="AE126" s="565"/>
      <c r="AF126" s="565"/>
      <c r="AG126" s="565"/>
      <c r="AH126" s="565"/>
      <c r="AI126" s="565"/>
      <c r="AJ126" s="565"/>
      <c r="AK126" s="565"/>
      <c r="AL126" s="565"/>
      <c r="AM126" s="632" t="s">
        <v>770</v>
      </c>
      <c r="AN126" s="565"/>
      <c r="AO126" s="565"/>
      <c r="AP126" s="565"/>
      <c r="AQ126" s="565"/>
      <c r="AR126" s="565"/>
      <c r="AS126" s="565"/>
      <c r="AT126" s="565"/>
      <c r="AU126" s="565"/>
      <c r="AV126" s="565"/>
      <c r="AW126" s="565"/>
      <c r="AX126" s="565"/>
      <c r="AY126" s="565"/>
      <c r="AZ126" s="565"/>
      <c r="BA126" s="646"/>
      <c r="BB126" s="646"/>
      <c r="BC126" s="646"/>
      <c r="BD126" s="646"/>
      <c r="BE126" s="646"/>
      <c r="BF126" s="699"/>
    </row>
    <row r="127" spans="2:58" x14ac:dyDescent="0.4">
      <c r="C127" s="653"/>
      <c r="D127" s="565"/>
      <c r="E127" s="565"/>
      <c r="F127" s="565"/>
      <c r="G127" s="565"/>
      <c r="H127" s="565"/>
      <c r="I127" s="565"/>
      <c r="J127" s="565"/>
      <c r="K127" s="565"/>
      <c r="L127" s="565"/>
      <c r="M127" s="565"/>
      <c r="N127" s="565"/>
      <c r="O127" s="565"/>
      <c r="P127" s="565"/>
      <c r="Q127" s="565"/>
      <c r="R127" s="565"/>
      <c r="S127" s="565"/>
      <c r="T127" s="565"/>
      <c r="U127" s="565"/>
      <c r="V127" s="565"/>
      <c r="W127" s="565"/>
      <c r="X127" s="565"/>
      <c r="Y127" s="565"/>
      <c r="Z127" s="565"/>
      <c r="AA127" s="565"/>
      <c r="AB127" s="565"/>
      <c r="AC127" s="565"/>
      <c r="AD127" s="565"/>
      <c r="AE127" s="565"/>
      <c r="AF127" s="565"/>
      <c r="AG127" s="565"/>
      <c r="AH127" s="565"/>
      <c r="AI127" s="565"/>
      <c r="AJ127" s="565"/>
      <c r="AK127" s="565"/>
      <c r="AL127" s="565"/>
      <c r="AM127" s="565"/>
      <c r="AN127" s="565"/>
      <c r="AO127" s="565"/>
      <c r="AP127" s="565"/>
      <c r="AQ127" s="565"/>
      <c r="AR127" s="565"/>
      <c r="AS127" s="565"/>
      <c r="AT127" s="565"/>
      <c r="AU127" s="565"/>
      <c r="AV127" s="565"/>
      <c r="AW127" s="565"/>
      <c r="AX127" s="565"/>
      <c r="AY127" s="565"/>
      <c r="AZ127" s="565"/>
      <c r="BA127" s="565"/>
      <c r="BB127" s="565"/>
      <c r="BC127" s="565"/>
      <c r="BD127" s="565"/>
      <c r="BE127" s="565"/>
      <c r="BF127" s="661"/>
    </row>
    <row r="128" spans="2:58" x14ac:dyDescent="0.4">
      <c r="C128" s="653"/>
      <c r="D128" s="565"/>
      <c r="E128" s="565"/>
      <c r="F128" s="565"/>
      <c r="G128" s="565"/>
      <c r="H128" s="565"/>
      <c r="I128" s="565"/>
      <c r="J128" s="565"/>
      <c r="K128" s="565"/>
      <c r="L128" s="565"/>
      <c r="M128" s="565"/>
      <c r="N128" s="565"/>
      <c r="O128" s="565"/>
      <c r="P128" s="565"/>
      <c r="Q128" s="565"/>
      <c r="R128" s="565"/>
      <c r="S128" s="565"/>
      <c r="T128" s="565"/>
      <c r="U128" s="565"/>
      <c r="V128" s="565"/>
      <c r="W128" s="565"/>
      <c r="X128" s="565"/>
      <c r="Y128" s="565"/>
      <c r="Z128" s="565"/>
      <c r="AA128" s="565"/>
      <c r="AB128" s="565"/>
      <c r="AC128" s="565"/>
      <c r="AD128" s="565"/>
      <c r="AE128" s="565"/>
      <c r="AF128" s="565"/>
      <c r="AG128" s="565"/>
      <c r="AH128" s="565"/>
      <c r="AI128" s="565"/>
      <c r="AJ128" s="565"/>
      <c r="AK128" s="565"/>
      <c r="AL128" s="565"/>
      <c r="AM128" s="565"/>
      <c r="AN128" s="565"/>
      <c r="AO128" s="565"/>
      <c r="AP128" s="565"/>
      <c r="AQ128" s="565"/>
      <c r="AR128" s="565"/>
      <c r="AS128" s="565"/>
      <c r="AT128" s="565"/>
      <c r="AU128" s="565"/>
      <c r="AV128" s="565"/>
      <c r="AW128" s="565"/>
      <c r="AX128" s="565"/>
      <c r="AY128" s="565"/>
      <c r="AZ128" s="565"/>
      <c r="BA128" s="565"/>
      <c r="BB128" s="565"/>
      <c r="BC128" s="565"/>
      <c r="BD128" s="565"/>
      <c r="BE128" s="565"/>
      <c r="BF128" s="661"/>
    </row>
    <row r="129" spans="2:73" ht="11.25" thickBot="1" x14ac:dyDescent="0.45">
      <c r="C129" s="658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  <c r="AA129" s="659"/>
      <c r="AB129" s="659"/>
      <c r="AC129" s="659"/>
      <c r="AD129" s="659"/>
      <c r="AE129" s="659"/>
      <c r="AF129" s="659"/>
      <c r="AG129" s="659"/>
      <c r="AH129" s="659"/>
      <c r="AI129" s="659"/>
      <c r="AJ129" s="659"/>
      <c r="AK129" s="659"/>
      <c r="AL129" s="659"/>
      <c r="AM129" s="659"/>
      <c r="AN129" s="659"/>
      <c r="AO129" s="659"/>
      <c r="AP129" s="659"/>
      <c r="AQ129" s="659"/>
      <c r="AR129" s="659"/>
      <c r="AS129" s="659"/>
      <c r="AT129" s="659"/>
      <c r="AU129" s="659"/>
      <c r="AV129" s="659"/>
      <c r="AW129" s="659"/>
      <c r="AX129" s="659"/>
      <c r="AY129" s="659"/>
      <c r="AZ129" s="659"/>
      <c r="BA129" s="659"/>
      <c r="BB129" s="659"/>
      <c r="BC129" s="659"/>
      <c r="BD129" s="659"/>
      <c r="BE129" s="659"/>
      <c r="BF129" s="662"/>
    </row>
    <row r="133" spans="2:73" ht="15.75" x14ac:dyDescent="0.4">
      <c r="B133" s="122" t="s">
        <v>801</v>
      </c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3" t="s">
        <v>802</v>
      </c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</row>
    <row r="135" spans="2:73" ht="12" x14ac:dyDescent="0.4">
      <c r="C135" s="125">
        <v>0</v>
      </c>
      <c r="H135" s="125">
        <v>5</v>
      </c>
      <c r="M135" s="125">
        <v>10</v>
      </c>
      <c r="R135" s="125">
        <v>15</v>
      </c>
      <c r="W135" s="125">
        <v>20</v>
      </c>
      <c r="BR135" s="272" t="s">
        <v>310</v>
      </c>
      <c r="BS135" s="272" t="s">
        <v>529</v>
      </c>
      <c r="BT135" s="272" t="s">
        <v>530</v>
      </c>
      <c r="BU135" s="272" t="s">
        <v>531</v>
      </c>
    </row>
    <row r="136" spans="2:73" ht="12" x14ac:dyDescent="0.4">
      <c r="B136" s="125">
        <v>0</v>
      </c>
      <c r="C136" s="707" t="s">
        <v>429</v>
      </c>
      <c r="D136" s="705"/>
      <c r="E136" s="704"/>
      <c r="F136" s="704"/>
      <c r="G136" s="704"/>
      <c r="H136" s="704"/>
      <c r="I136" s="704"/>
      <c r="J136" s="704"/>
      <c r="K136" s="704"/>
      <c r="L136" s="704"/>
      <c r="M136" s="704"/>
      <c r="N136" s="704"/>
      <c r="O136" s="704"/>
      <c r="P136" s="704"/>
      <c r="Q136" s="704"/>
      <c r="R136" s="704"/>
      <c r="S136" s="704"/>
      <c r="T136" s="704"/>
      <c r="U136" s="704"/>
      <c r="V136" s="704"/>
      <c r="W136" s="712"/>
      <c r="X136" s="711"/>
      <c r="BR136" s="1019" t="s">
        <v>429</v>
      </c>
      <c r="BS136" s="1019" t="s">
        <v>429</v>
      </c>
      <c r="BT136" s="1019" t="s">
        <v>805</v>
      </c>
      <c r="BU136" s="1019" t="s">
        <v>753</v>
      </c>
    </row>
    <row r="137" spans="2:73" ht="12" x14ac:dyDescent="0.4">
      <c r="C137" s="708"/>
      <c r="D137" s="451"/>
      <c r="E137" s="452"/>
      <c r="F137" s="452"/>
      <c r="G137" s="452"/>
      <c r="H137" s="452"/>
      <c r="I137" s="452"/>
      <c r="J137" s="452"/>
      <c r="K137" s="452"/>
      <c r="L137" s="452"/>
      <c r="M137" s="725"/>
      <c r="N137" s="725"/>
      <c r="O137" s="452"/>
      <c r="P137" s="452"/>
      <c r="Q137" s="452"/>
      <c r="R137" s="452"/>
      <c r="S137" s="452"/>
      <c r="T137" s="452"/>
      <c r="U137" s="452"/>
      <c r="V137" s="452"/>
      <c r="W137" s="453"/>
      <c r="X137" s="708"/>
      <c r="BR137" s="1019" t="s">
        <v>803</v>
      </c>
      <c r="BS137" s="1019" t="s">
        <v>494</v>
      </c>
      <c r="BT137" s="1019" t="s">
        <v>532</v>
      </c>
      <c r="BU137" s="1019" t="s">
        <v>806</v>
      </c>
    </row>
    <row r="138" spans="2:73" ht="12" x14ac:dyDescent="0.4">
      <c r="C138" s="709"/>
      <c r="D138" s="454"/>
      <c r="E138" s="455"/>
      <c r="F138" s="458"/>
      <c r="G138" s="458"/>
      <c r="H138" s="455"/>
      <c r="I138" s="455"/>
      <c r="J138" s="455"/>
      <c r="K138" s="455"/>
      <c r="L138" s="456"/>
      <c r="M138" s="724" t="s">
        <v>475</v>
      </c>
      <c r="N138" s="723"/>
      <c r="O138" s="454"/>
      <c r="P138" s="455"/>
      <c r="Q138" s="455"/>
      <c r="R138" s="455"/>
      <c r="S138" s="455"/>
      <c r="T138" s="458"/>
      <c r="U138" s="458"/>
      <c r="V138" s="455"/>
      <c r="W138" s="456"/>
      <c r="X138" s="709"/>
      <c r="BR138" s="1019" t="s">
        <v>475</v>
      </c>
      <c r="BS138" s="1019" t="s">
        <v>475</v>
      </c>
      <c r="BT138" s="1019" t="s">
        <v>534</v>
      </c>
      <c r="BU138" s="1019" t="s">
        <v>807</v>
      </c>
    </row>
    <row r="139" spans="2:73" ht="12" x14ac:dyDescent="0.4">
      <c r="C139" s="709"/>
      <c r="D139" s="454"/>
      <c r="E139" s="456"/>
      <c r="F139" s="724" t="s">
        <v>475</v>
      </c>
      <c r="G139" s="723"/>
      <c r="H139" s="454"/>
      <c r="I139" s="455"/>
      <c r="J139" s="455"/>
      <c r="K139" s="455"/>
      <c r="L139" s="455"/>
      <c r="M139" s="452"/>
      <c r="N139" s="452"/>
      <c r="O139" s="455"/>
      <c r="P139" s="455"/>
      <c r="Q139" s="455"/>
      <c r="R139" s="455"/>
      <c r="S139" s="456"/>
      <c r="T139" s="724" t="s">
        <v>475</v>
      </c>
      <c r="U139" s="723"/>
      <c r="V139" s="454"/>
      <c r="W139" s="456"/>
      <c r="X139" s="709"/>
      <c r="BR139" s="1019" t="s">
        <v>475</v>
      </c>
      <c r="BS139" s="1019" t="s">
        <v>475</v>
      </c>
      <c r="BT139" s="1019" t="s">
        <v>534</v>
      </c>
      <c r="BU139" s="1019" t="s">
        <v>808</v>
      </c>
    </row>
    <row r="140" spans="2:73" ht="12" x14ac:dyDescent="0.4">
      <c r="C140" s="709"/>
      <c r="D140" s="454"/>
      <c r="E140" s="455"/>
      <c r="F140" s="452"/>
      <c r="G140" s="452"/>
      <c r="H140" s="455"/>
      <c r="I140" s="455"/>
      <c r="J140" s="455"/>
      <c r="K140" s="455"/>
      <c r="L140" s="455"/>
      <c r="M140" s="455"/>
      <c r="N140" s="455"/>
      <c r="O140" s="455"/>
      <c r="P140" s="455"/>
      <c r="Q140" s="455"/>
      <c r="R140" s="455"/>
      <c r="S140" s="455"/>
      <c r="T140" s="452"/>
      <c r="U140" s="452"/>
      <c r="V140" s="455"/>
      <c r="W140" s="456"/>
      <c r="X140" s="709"/>
      <c r="BR140" s="1019" t="s">
        <v>475</v>
      </c>
      <c r="BS140" s="1019" t="s">
        <v>475</v>
      </c>
      <c r="BT140" s="1019" t="s">
        <v>534</v>
      </c>
      <c r="BU140" s="1019" t="s">
        <v>809</v>
      </c>
    </row>
    <row r="141" spans="2:73" ht="12" x14ac:dyDescent="0.4">
      <c r="B141" s="125">
        <v>5</v>
      </c>
      <c r="C141" s="709"/>
      <c r="D141" s="454"/>
      <c r="E141" s="455"/>
      <c r="F141" s="455"/>
      <c r="G141" s="455"/>
      <c r="H141" s="455"/>
      <c r="I141" s="455"/>
      <c r="J141" s="455"/>
      <c r="K141" s="455"/>
      <c r="L141" s="455"/>
      <c r="M141" s="455"/>
      <c r="N141" s="455"/>
      <c r="O141" s="455"/>
      <c r="P141" s="455"/>
      <c r="Q141" s="455"/>
      <c r="R141" s="455"/>
      <c r="S141" s="455"/>
      <c r="T141" s="455"/>
      <c r="U141" s="455"/>
      <c r="V141" s="455"/>
      <c r="W141" s="456"/>
      <c r="X141" s="709"/>
      <c r="BR141" s="1019" t="s">
        <v>475</v>
      </c>
      <c r="BS141" s="1019" t="s">
        <v>475</v>
      </c>
      <c r="BT141" s="1019" t="s">
        <v>534</v>
      </c>
      <c r="BU141" s="1019" t="s">
        <v>810</v>
      </c>
    </row>
    <row r="142" spans="2:73" ht="12" x14ac:dyDescent="0.4">
      <c r="C142" s="709"/>
      <c r="D142" s="454"/>
      <c r="E142" s="455"/>
      <c r="F142" s="455"/>
      <c r="G142" s="455"/>
      <c r="H142" s="455"/>
      <c r="I142" s="455"/>
      <c r="J142" s="455"/>
      <c r="K142" s="455"/>
      <c r="L142" s="455"/>
      <c r="M142" s="455"/>
      <c r="N142" s="455"/>
      <c r="O142" s="455"/>
      <c r="P142" s="455"/>
      <c r="Q142" s="455"/>
      <c r="R142" s="455"/>
      <c r="S142" s="455"/>
      <c r="T142" s="455"/>
      <c r="U142" s="455"/>
      <c r="V142" s="455"/>
      <c r="W142" s="456"/>
      <c r="X142" s="709"/>
      <c r="BR142" s="1019" t="s">
        <v>475</v>
      </c>
      <c r="BS142" s="1019" t="s">
        <v>475</v>
      </c>
      <c r="BT142" s="1019" t="s">
        <v>534</v>
      </c>
      <c r="BU142" s="1019" t="s">
        <v>811</v>
      </c>
    </row>
    <row r="143" spans="2:73" ht="12" x14ac:dyDescent="0.4">
      <c r="C143" s="709"/>
      <c r="D143" s="454"/>
      <c r="E143" s="455"/>
      <c r="F143" s="455"/>
      <c r="G143" s="455"/>
      <c r="H143" s="455"/>
      <c r="I143" s="455"/>
      <c r="J143" s="455"/>
      <c r="K143" s="455"/>
      <c r="L143" s="458"/>
      <c r="M143" s="458"/>
      <c r="N143" s="458"/>
      <c r="O143" s="458"/>
      <c r="P143" s="455"/>
      <c r="Q143" s="455"/>
      <c r="R143" s="455"/>
      <c r="S143" s="455"/>
      <c r="T143" s="455"/>
      <c r="U143" s="455"/>
      <c r="V143" s="455"/>
      <c r="W143" s="456"/>
      <c r="X143" s="709"/>
      <c r="BR143" s="1019" t="s">
        <v>804</v>
      </c>
      <c r="BS143" s="1019" t="s">
        <v>436</v>
      </c>
      <c r="BT143" s="1019" t="s">
        <v>534</v>
      </c>
      <c r="BU143" s="1019" t="s">
        <v>812</v>
      </c>
    </row>
    <row r="144" spans="2:73" ht="12" x14ac:dyDescent="0.4">
      <c r="C144" s="709"/>
      <c r="D144" s="454"/>
      <c r="E144" s="455"/>
      <c r="F144" s="455"/>
      <c r="G144" s="455"/>
      <c r="H144" s="455"/>
      <c r="I144" s="455"/>
      <c r="J144" s="455"/>
      <c r="K144" s="456"/>
      <c r="L144" s="721" t="s">
        <v>803</v>
      </c>
      <c r="M144" s="715"/>
      <c r="N144" s="715"/>
      <c r="O144" s="718"/>
      <c r="P144" s="454"/>
      <c r="Q144" s="455"/>
      <c r="R144" s="455"/>
      <c r="S144" s="455"/>
      <c r="T144" s="455"/>
      <c r="U144" s="455"/>
      <c r="V144" s="455"/>
      <c r="W144" s="456"/>
      <c r="X144" s="709"/>
      <c r="BR144" s="1019" t="s">
        <v>733</v>
      </c>
      <c r="BS144" s="1019" t="s">
        <v>491</v>
      </c>
      <c r="BT144" s="1019" t="s">
        <v>539</v>
      </c>
      <c r="BU144" s="1019" t="s">
        <v>636</v>
      </c>
    </row>
    <row r="145" spans="2:73" x14ac:dyDescent="0.4">
      <c r="C145" s="709"/>
      <c r="D145" s="454"/>
      <c r="E145" s="455"/>
      <c r="F145" s="455"/>
      <c r="G145" s="455"/>
      <c r="H145" s="455"/>
      <c r="I145" s="455"/>
      <c r="J145" s="455"/>
      <c r="K145" s="456"/>
      <c r="L145" s="714"/>
      <c r="M145" s="713"/>
      <c r="N145" s="713"/>
      <c r="O145" s="719"/>
      <c r="P145" s="454"/>
      <c r="Q145" s="455"/>
      <c r="R145" s="455"/>
      <c r="S145" s="455"/>
      <c r="T145" s="455"/>
      <c r="U145" s="455"/>
      <c r="V145" s="455"/>
      <c r="W145" s="456"/>
      <c r="X145" s="709"/>
    </row>
    <row r="146" spans="2:73" ht="12" x14ac:dyDescent="0.4">
      <c r="B146" s="125">
        <v>10</v>
      </c>
      <c r="C146" s="709"/>
      <c r="D146" s="454"/>
      <c r="E146" s="455"/>
      <c r="F146" s="455"/>
      <c r="G146" s="455"/>
      <c r="H146" s="455"/>
      <c r="I146" s="455"/>
      <c r="J146" s="455"/>
      <c r="K146" s="456"/>
      <c r="L146" s="714"/>
      <c r="M146" s="713"/>
      <c r="N146" s="713"/>
      <c r="O146" s="719"/>
      <c r="P146" s="1063" t="str">
        <f>IF($AB$3="ON","→","")</f>
        <v>→</v>
      </c>
      <c r="Q146" s="1037" t="str">
        <f>IF($AB$3="ON","→","")</f>
        <v>→</v>
      </c>
      <c r="R146" s="1037" t="str">
        <f>IF($AB$3="ON","→","")</f>
        <v>→</v>
      </c>
      <c r="S146" s="1037" t="str">
        <f>IF($AB$3="ON","→","")</f>
        <v>→</v>
      </c>
      <c r="T146" s="1037" t="str">
        <f>IF($AB$3="ON","→","")</f>
        <v>→</v>
      </c>
      <c r="U146" s="584" t="s">
        <v>733</v>
      </c>
      <c r="V146" s="455"/>
      <c r="W146" s="456"/>
      <c r="X146" s="709"/>
    </row>
    <row r="147" spans="2:73" x14ac:dyDescent="0.4">
      <c r="C147" s="709"/>
      <c r="D147" s="454"/>
      <c r="E147" s="455"/>
      <c r="F147" s="455"/>
      <c r="G147" s="455"/>
      <c r="H147" s="455"/>
      <c r="I147" s="455"/>
      <c r="J147" s="455"/>
      <c r="K147" s="456"/>
      <c r="L147" s="716"/>
      <c r="M147" s="717"/>
      <c r="N147" s="717"/>
      <c r="O147" s="720"/>
      <c r="P147" s="454"/>
      <c r="Q147" s="455"/>
      <c r="R147" s="455"/>
      <c r="S147" s="455"/>
      <c r="T147" s="455"/>
      <c r="U147" s="455"/>
      <c r="V147" s="455"/>
      <c r="W147" s="456"/>
      <c r="X147" s="709"/>
    </row>
    <row r="148" spans="2:73" ht="12" x14ac:dyDescent="0.4">
      <c r="C148" s="709"/>
      <c r="D148" s="454"/>
      <c r="E148" s="455"/>
      <c r="F148" s="455"/>
      <c r="G148" s="455"/>
      <c r="H148" s="455"/>
      <c r="I148" s="455"/>
      <c r="J148" s="455"/>
      <c r="K148" s="455"/>
      <c r="L148" s="452"/>
      <c r="M148" s="452"/>
      <c r="N148" s="1036" t="str">
        <f t="shared" ref="N148:N154" si="6">IF($AB$3="ON","↑","")</f>
        <v>↑</v>
      </c>
      <c r="O148" s="452"/>
      <c r="P148" s="455"/>
      <c r="Q148" s="455"/>
      <c r="R148" s="455"/>
      <c r="S148" s="455"/>
      <c r="T148" s="455"/>
      <c r="U148" s="455"/>
      <c r="V148" s="455"/>
      <c r="W148" s="456"/>
      <c r="X148" s="709"/>
    </row>
    <row r="149" spans="2:73" ht="12" x14ac:dyDescent="0.4">
      <c r="C149" s="709"/>
      <c r="D149" s="454"/>
      <c r="E149" s="455"/>
      <c r="F149" s="455"/>
      <c r="G149" s="455"/>
      <c r="H149" s="455"/>
      <c r="I149" s="455"/>
      <c r="J149" s="455"/>
      <c r="K149" s="455"/>
      <c r="L149" s="455"/>
      <c r="M149" s="455"/>
      <c r="N149" s="1037" t="str">
        <f t="shared" si="6"/>
        <v>↑</v>
      </c>
      <c r="O149" s="455"/>
      <c r="P149" s="455"/>
      <c r="Q149" s="455"/>
      <c r="R149" s="455"/>
      <c r="S149" s="455"/>
      <c r="T149" s="455"/>
      <c r="U149" s="455"/>
      <c r="V149" s="455"/>
      <c r="W149" s="456"/>
      <c r="X149" s="709"/>
    </row>
    <row r="150" spans="2:73" ht="12" x14ac:dyDescent="0.4">
      <c r="C150" s="709"/>
      <c r="D150" s="454"/>
      <c r="E150" s="455"/>
      <c r="F150" s="455"/>
      <c r="G150" s="455"/>
      <c r="H150" s="455"/>
      <c r="I150" s="455"/>
      <c r="J150" s="455"/>
      <c r="K150" s="455"/>
      <c r="L150" s="455"/>
      <c r="M150" s="455"/>
      <c r="N150" s="1037" t="str">
        <f t="shared" si="6"/>
        <v>↑</v>
      </c>
      <c r="O150" s="455"/>
      <c r="P150" s="455"/>
      <c r="Q150" s="455"/>
      <c r="R150" s="455"/>
      <c r="S150" s="455"/>
      <c r="T150" s="455"/>
      <c r="U150" s="455"/>
      <c r="V150" s="455"/>
      <c r="W150" s="456"/>
      <c r="X150" s="709"/>
    </row>
    <row r="151" spans="2:73" ht="12" x14ac:dyDescent="0.4">
      <c r="B151" s="125">
        <v>15</v>
      </c>
      <c r="C151" s="709"/>
      <c r="D151" s="454"/>
      <c r="E151" s="455"/>
      <c r="F151" s="458"/>
      <c r="G151" s="458"/>
      <c r="H151" s="455"/>
      <c r="I151" s="455"/>
      <c r="J151" s="455"/>
      <c r="K151" s="455"/>
      <c r="L151" s="455"/>
      <c r="M151" s="455"/>
      <c r="N151" s="1037" t="str">
        <f t="shared" si="6"/>
        <v>↑</v>
      </c>
      <c r="O151" s="455"/>
      <c r="P151" s="455"/>
      <c r="Q151" s="455"/>
      <c r="R151" s="455"/>
      <c r="S151" s="455"/>
      <c r="T151" s="458"/>
      <c r="U151" s="458"/>
      <c r="V151" s="455"/>
      <c r="W151" s="456"/>
      <c r="X151" s="709"/>
    </row>
    <row r="152" spans="2:73" ht="12" x14ac:dyDescent="0.4">
      <c r="C152" s="709"/>
      <c r="D152" s="454"/>
      <c r="E152" s="456"/>
      <c r="F152" s="724" t="s">
        <v>475</v>
      </c>
      <c r="G152" s="723"/>
      <c r="H152" s="454"/>
      <c r="I152" s="455"/>
      <c r="J152" s="455"/>
      <c r="K152" s="455"/>
      <c r="L152" s="455"/>
      <c r="M152" s="455"/>
      <c r="N152" s="1037" t="str">
        <f t="shared" si="6"/>
        <v>↑</v>
      </c>
      <c r="O152" s="455"/>
      <c r="P152" s="455"/>
      <c r="Q152" s="455"/>
      <c r="R152" s="455"/>
      <c r="S152" s="456"/>
      <c r="T152" s="724" t="s">
        <v>475</v>
      </c>
      <c r="U152" s="723"/>
      <c r="V152" s="454"/>
      <c r="W152" s="456"/>
      <c r="X152" s="709"/>
    </row>
    <row r="153" spans="2:73" ht="12" x14ac:dyDescent="0.4">
      <c r="C153" s="709"/>
      <c r="D153" s="454"/>
      <c r="E153" s="455"/>
      <c r="F153" s="452"/>
      <c r="G153" s="452"/>
      <c r="H153" s="455"/>
      <c r="I153" s="455"/>
      <c r="J153" s="455"/>
      <c r="K153" s="455"/>
      <c r="L153" s="455"/>
      <c r="M153" s="455"/>
      <c r="N153" s="1037" t="str">
        <f t="shared" si="6"/>
        <v>↑</v>
      </c>
      <c r="O153" s="455"/>
      <c r="P153" s="455"/>
      <c r="Q153" s="455"/>
      <c r="R153" s="455"/>
      <c r="S153" s="455"/>
      <c r="T153" s="452"/>
      <c r="U153" s="452"/>
      <c r="V153" s="455"/>
      <c r="W153" s="456"/>
      <c r="X153" s="709"/>
    </row>
    <row r="154" spans="2:73" ht="12" x14ac:dyDescent="0.4">
      <c r="C154" s="710"/>
      <c r="D154" s="457"/>
      <c r="E154" s="458"/>
      <c r="F154" s="458"/>
      <c r="G154" s="458"/>
      <c r="H154" s="458"/>
      <c r="I154" s="458"/>
      <c r="J154" s="458"/>
      <c r="K154" s="458"/>
      <c r="L154" s="458"/>
      <c r="M154" s="458"/>
      <c r="N154" s="1038" t="str">
        <f t="shared" si="6"/>
        <v>↑</v>
      </c>
      <c r="O154" s="458"/>
      <c r="P154" s="458"/>
      <c r="Q154" s="458"/>
      <c r="R154" s="458"/>
      <c r="S154" s="458"/>
      <c r="T154" s="458"/>
      <c r="U154" s="458"/>
      <c r="V154" s="458"/>
      <c r="W154" s="459"/>
      <c r="X154" s="710"/>
    </row>
    <row r="155" spans="2:73" x14ac:dyDescent="0.4">
      <c r="C155" s="711"/>
      <c r="D155" s="705"/>
      <c r="E155" s="704"/>
      <c r="F155" s="704"/>
      <c r="G155" s="704"/>
      <c r="H155" s="704"/>
      <c r="I155" s="704"/>
      <c r="J155" s="704"/>
      <c r="K155" s="704"/>
      <c r="L155" s="712"/>
      <c r="M155" s="485" t="s">
        <v>804</v>
      </c>
      <c r="N155" s="484"/>
      <c r="O155" s="705"/>
      <c r="P155" s="704"/>
      <c r="Q155" s="704"/>
      <c r="R155" s="704"/>
      <c r="S155" s="704"/>
      <c r="T155" s="704"/>
      <c r="U155" s="704"/>
      <c r="V155" s="704"/>
      <c r="W155" s="712"/>
      <c r="X155" s="711"/>
    </row>
    <row r="159" spans="2:73" ht="15.75" x14ac:dyDescent="0.4">
      <c r="B159" s="122" t="s">
        <v>813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21"/>
      <c r="BJ159" s="123" t="s">
        <v>814</v>
      </c>
      <c r="BK159" s="121"/>
      <c r="BL159" s="121"/>
      <c r="BM159" s="121"/>
      <c r="BN159" s="121"/>
      <c r="BO159" s="121"/>
      <c r="BP159" s="121"/>
      <c r="BQ159" s="121"/>
      <c r="BR159" s="121"/>
      <c r="BS159" s="121"/>
      <c r="BT159" s="121"/>
      <c r="BU159" s="121"/>
    </row>
    <row r="160" spans="2:73" ht="12" x14ac:dyDescent="0.4">
      <c r="B160" s="124" t="s">
        <v>815</v>
      </c>
    </row>
    <row r="161" spans="2:73" ht="12.75" thickBot="1" x14ac:dyDescent="0.45">
      <c r="C161" s="125">
        <v>0</v>
      </c>
      <c r="H161" s="125">
        <v>5</v>
      </c>
      <c r="M161" s="125">
        <v>10</v>
      </c>
      <c r="BR161" s="272" t="s">
        <v>310</v>
      </c>
      <c r="BS161" s="272" t="s">
        <v>529</v>
      </c>
      <c r="BT161" s="272" t="s">
        <v>530</v>
      </c>
      <c r="BU161" s="272" t="s">
        <v>531</v>
      </c>
    </row>
    <row r="162" spans="2:73" ht="12" x14ac:dyDescent="0.4">
      <c r="B162" s="125">
        <v>0</v>
      </c>
      <c r="C162" s="738"/>
      <c r="D162" s="739"/>
      <c r="E162" s="739"/>
      <c r="F162" s="740"/>
      <c r="G162" s="603" t="s">
        <v>821</v>
      </c>
      <c r="H162" s="601"/>
      <c r="I162" s="601"/>
      <c r="J162" s="601"/>
      <c r="K162" s="601"/>
      <c r="L162" s="602"/>
      <c r="M162" s="766"/>
      <c r="N162" s="739"/>
      <c r="O162" s="739"/>
      <c r="P162" s="744"/>
      <c r="BR162" s="1019" t="s">
        <v>816</v>
      </c>
      <c r="BS162" s="1019" t="s">
        <v>436</v>
      </c>
      <c r="BT162" s="1019" t="s">
        <v>822</v>
      </c>
      <c r="BU162" s="1019" t="s">
        <v>823</v>
      </c>
    </row>
    <row r="163" spans="2:73" ht="12" x14ac:dyDescent="0.4">
      <c r="C163" s="736"/>
      <c r="D163" s="731"/>
      <c r="E163" s="731"/>
      <c r="F163" s="731"/>
      <c r="G163" s="728"/>
      <c r="H163" s="728"/>
      <c r="I163" s="1069" t="str">
        <f t="shared" ref="I163:I169" si="7">IF($AB$3="ON","↑","")</f>
        <v>↑</v>
      </c>
      <c r="J163" s="728"/>
      <c r="K163" s="728"/>
      <c r="L163" s="728"/>
      <c r="M163" s="731"/>
      <c r="N163" s="731"/>
      <c r="O163" s="731"/>
      <c r="P163" s="745"/>
      <c r="BR163" s="1019" t="s">
        <v>650</v>
      </c>
      <c r="BS163" s="1019" t="s">
        <v>435</v>
      </c>
      <c r="BT163" s="1019" t="s">
        <v>824</v>
      </c>
      <c r="BU163" s="1019" t="s">
        <v>825</v>
      </c>
    </row>
    <row r="164" spans="2:73" ht="12" x14ac:dyDescent="0.4">
      <c r="C164" s="736"/>
      <c r="D164" s="731"/>
      <c r="E164" s="731"/>
      <c r="F164" s="731"/>
      <c r="G164" s="731"/>
      <c r="H164" s="731"/>
      <c r="I164" s="1068" t="str">
        <f t="shared" si="7"/>
        <v>↑</v>
      </c>
      <c r="J164" s="731"/>
      <c r="K164" s="731"/>
      <c r="L164" s="731"/>
      <c r="M164" s="731"/>
      <c r="N164" s="731"/>
      <c r="O164" s="731"/>
      <c r="P164" s="745"/>
      <c r="BR164" s="1019" t="s">
        <v>817</v>
      </c>
      <c r="BS164" s="1019" t="s">
        <v>476</v>
      </c>
      <c r="BT164" s="1019" t="s">
        <v>539</v>
      </c>
      <c r="BU164" s="1019" t="s">
        <v>826</v>
      </c>
    </row>
    <row r="165" spans="2:73" ht="12" x14ac:dyDescent="0.4">
      <c r="C165" s="736"/>
      <c r="D165" s="731"/>
      <c r="E165" s="731"/>
      <c r="F165" s="731"/>
      <c r="G165" s="731"/>
      <c r="H165" s="731"/>
      <c r="I165" s="1068" t="str">
        <f t="shared" si="7"/>
        <v>↑</v>
      </c>
      <c r="J165" s="731"/>
      <c r="K165" s="731"/>
      <c r="L165" s="731"/>
      <c r="M165" s="731"/>
      <c r="N165" s="731"/>
      <c r="O165" s="731"/>
      <c r="P165" s="745"/>
      <c r="BR165" s="1019" t="s">
        <v>433</v>
      </c>
      <c r="BS165" s="1019" t="s">
        <v>433</v>
      </c>
      <c r="BT165" s="1019" t="s">
        <v>582</v>
      </c>
      <c r="BU165" s="1019" t="s">
        <v>827</v>
      </c>
    </row>
    <row r="166" spans="2:73" ht="12" x14ac:dyDescent="0.4">
      <c r="C166" s="736"/>
      <c r="D166" s="731"/>
      <c r="E166" s="731"/>
      <c r="F166" s="731"/>
      <c r="G166" s="731"/>
      <c r="H166" s="731"/>
      <c r="I166" s="1068" t="str">
        <f t="shared" si="7"/>
        <v>↑</v>
      </c>
      <c r="J166" s="731"/>
      <c r="K166" s="731"/>
      <c r="L166" s="731"/>
      <c r="M166" s="731"/>
      <c r="N166" s="731"/>
      <c r="O166" s="731"/>
      <c r="P166" s="745"/>
      <c r="BR166" s="1019" t="s">
        <v>818</v>
      </c>
      <c r="BS166" s="1019" t="s">
        <v>415</v>
      </c>
      <c r="BT166" s="1019" t="s">
        <v>828</v>
      </c>
      <c r="BU166" s="1019" t="s">
        <v>687</v>
      </c>
    </row>
    <row r="167" spans="2:73" ht="12" x14ac:dyDescent="0.4">
      <c r="B167" s="125">
        <v>5</v>
      </c>
      <c r="C167" s="736"/>
      <c r="D167" s="731"/>
      <c r="E167" s="731"/>
      <c r="F167" s="731"/>
      <c r="G167" s="731"/>
      <c r="H167" s="731"/>
      <c r="I167" s="1068" t="str">
        <f t="shared" si="7"/>
        <v>↑</v>
      </c>
      <c r="J167" s="731"/>
      <c r="K167" s="731"/>
      <c r="L167" s="731"/>
      <c r="M167" s="731"/>
      <c r="N167" s="731"/>
      <c r="O167" s="731"/>
      <c r="P167" s="745"/>
      <c r="BR167" s="1019" t="s">
        <v>96</v>
      </c>
      <c r="BS167" s="1019" t="s">
        <v>96</v>
      </c>
      <c r="BT167" s="1019" t="s">
        <v>539</v>
      </c>
      <c r="BU167" s="1019" t="s">
        <v>829</v>
      </c>
    </row>
    <row r="168" spans="2:73" ht="12" x14ac:dyDescent="0.4">
      <c r="C168" s="736"/>
      <c r="D168" s="731"/>
      <c r="E168" s="731"/>
      <c r="F168" s="731"/>
      <c r="G168" s="731"/>
      <c r="H168" s="731"/>
      <c r="I168" s="1068" t="str">
        <f t="shared" si="7"/>
        <v>↑</v>
      </c>
      <c r="J168" s="731"/>
      <c r="K168" s="731"/>
      <c r="L168" s="731"/>
      <c r="M168" s="731"/>
      <c r="N168" s="731"/>
      <c r="O168" s="731"/>
      <c r="P168" s="745"/>
      <c r="BR168" s="1019" t="s">
        <v>96</v>
      </c>
      <c r="BS168" s="1019" t="s">
        <v>96</v>
      </c>
      <c r="BT168" s="1019" t="s">
        <v>539</v>
      </c>
      <c r="BU168" s="1019" t="s">
        <v>675</v>
      </c>
    </row>
    <row r="169" spans="2:73" ht="12" x14ac:dyDescent="0.4">
      <c r="C169" s="736"/>
      <c r="D169" s="731"/>
      <c r="E169" s="734"/>
      <c r="F169" s="734"/>
      <c r="G169" s="734"/>
      <c r="H169" s="734"/>
      <c r="I169" s="1067" t="str">
        <f t="shared" si="7"/>
        <v>↑</v>
      </c>
      <c r="J169" s="734"/>
      <c r="K169" s="734"/>
      <c r="L169" s="734"/>
      <c r="M169" s="734"/>
      <c r="N169" s="734"/>
      <c r="O169" s="731"/>
      <c r="P169" s="745"/>
      <c r="BR169" s="1019" t="s">
        <v>820</v>
      </c>
      <c r="BS169" s="1019" t="s">
        <v>437</v>
      </c>
      <c r="BT169" s="1019" t="s">
        <v>780</v>
      </c>
      <c r="BU169" s="1019" t="s">
        <v>830</v>
      </c>
    </row>
    <row r="170" spans="2:73" ht="12" x14ac:dyDescent="0.4">
      <c r="C170" s="736"/>
      <c r="D170" s="732"/>
      <c r="E170" s="603" t="s">
        <v>820</v>
      </c>
      <c r="F170" s="601"/>
      <c r="G170" s="601"/>
      <c r="H170" s="601"/>
      <c r="I170" s="601"/>
      <c r="J170" s="601"/>
      <c r="K170" s="601"/>
      <c r="L170" s="601"/>
      <c r="M170" s="601"/>
      <c r="N170" s="602"/>
      <c r="O170" s="730"/>
      <c r="P170" s="745"/>
      <c r="BR170" s="1019" t="s">
        <v>821</v>
      </c>
      <c r="BS170" s="1019" t="s">
        <v>437</v>
      </c>
      <c r="BT170" s="1019" t="s">
        <v>695</v>
      </c>
      <c r="BU170" s="1019" t="s">
        <v>746</v>
      </c>
    </row>
    <row r="171" spans="2:73" ht="12" x14ac:dyDescent="0.4">
      <c r="C171" s="736"/>
      <c r="D171" s="731"/>
      <c r="E171" s="728"/>
      <c r="F171" s="728"/>
      <c r="G171" s="728"/>
      <c r="H171" s="728"/>
      <c r="I171" s="1069" t="str">
        <f>IF($AB$3="ON","↑","")</f>
        <v>↑</v>
      </c>
      <c r="J171" s="728"/>
      <c r="K171" s="728"/>
      <c r="L171" s="728"/>
      <c r="M171" s="728"/>
      <c r="N171" s="728"/>
      <c r="O171" s="731"/>
      <c r="P171" s="745"/>
      <c r="BR171" s="1019" t="s">
        <v>508</v>
      </c>
      <c r="BS171" s="1019" t="s">
        <v>486</v>
      </c>
      <c r="BT171" s="1019" t="s">
        <v>539</v>
      </c>
      <c r="BU171" s="1019" t="s">
        <v>831</v>
      </c>
    </row>
    <row r="172" spans="2:73" ht="12" x14ac:dyDescent="0.4">
      <c r="B172" s="125">
        <v>10</v>
      </c>
      <c r="C172" s="736"/>
      <c r="D172" s="731"/>
      <c r="E172" s="731"/>
      <c r="F172" s="731"/>
      <c r="G172" s="731"/>
      <c r="H172" s="731"/>
      <c r="I172" s="1068" t="str">
        <f>IF($AB$3="ON","↑","")</f>
        <v>↑</v>
      </c>
      <c r="J172" s="731"/>
      <c r="K172" s="731"/>
      <c r="L172" s="731"/>
      <c r="M172" s="731"/>
      <c r="N172" s="731"/>
      <c r="O172" s="731"/>
      <c r="P172" s="745"/>
    </row>
    <row r="173" spans="2:73" ht="12" x14ac:dyDescent="0.4">
      <c r="C173" s="736"/>
      <c r="D173" s="734"/>
      <c r="E173" s="734"/>
      <c r="F173" s="734"/>
      <c r="G173" s="734"/>
      <c r="H173" s="734"/>
      <c r="I173" s="1067" t="str">
        <f>IF($AB$3="ON","↑","")</f>
        <v>↑</v>
      </c>
      <c r="J173" s="734"/>
      <c r="K173" s="734"/>
      <c r="L173" s="734"/>
      <c r="M173" s="734"/>
      <c r="N173" s="734"/>
      <c r="O173" s="734"/>
      <c r="P173" s="745"/>
    </row>
    <row r="174" spans="2:73" x14ac:dyDescent="0.4">
      <c r="C174" s="757"/>
      <c r="D174" s="583" t="s">
        <v>819</v>
      </c>
      <c r="E174" s="758" t="s">
        <v>818</v>
      </c>
      <c r="F174" s="755"/>
      <c r="G174" s="755"/>
      <c r="H174" s="755"/>
      <c r="I174" s="755"/>
      <c r="J174" s="755"/>
      <c r="K174" s="755"/>
      <c r="L174" s="755"/>
      <c r="M174" s="755"/>
      <c r="N174" s="761"/>
      <c r="O174" s="583" t="s">
        <v>819</v>
      </c>
      <c r="P174" s="764"/>
    </row>
    <row r="175" spans="2:73" ht="12" x14ac:dyDescent="0.4">
      <c r="C175" s="757"/>
      <c r="D175" s="503"/>
      <c r="E175" s="759"/>
      <c r="F175" s="754"/>
      <c r="G175" s="754"/>
      <c r="H175" s="754"/>
      <c r="I175" s="1071" t="str">
        <f>IF($AB$3="ON","↑","")</f>
        <v>↑</v>
      </c>
      <c r="J175" s="754"/>
      <c r="K175" s="754"/>
      <c r="L175" s="754"/>
      <c r="M175" s="754"/>
      <c r="N175" s="762"/>
      <c r="O175" s="503"/>
      <c r="P175" s="764"/>
    </row>
    <row r="176" spans="2:73" ht="12" x14ac:dyDescent="0.4">
      <c r="C176" s="757"/>
      <c r="D176" s="503"/>
      <c r="E176" s="759"/>
      <c r="F176" s="754"/>
      <c r="G176" s="754"/>
      <c r="H176" s="754"/>
      <c r="I176" s="1071" t="str">
        <f>IF($AB$3="ON","↑","")</f>
        <v>↑</v>
      </c>
      <c r="J176" s="754"/>
      <c r="K176" s="754"/>
      <c r="L176" s="754"/>
      <c r="M176" s="754"/>
      <c r="N176" s="762"/>
      <c r="O176" s="503"/>
      <c r="P176" s="764"/>
    </row>
    <row r="177" spans="2:16" ht="12" x14ac:dyDescent="0.4">
      <c r="B177" s="125">
        <v>15</v>
      </c>
      <c r="C177" s="757"/>
      <c r="D177" s="503"/>
      <c r="E177" s="759"/>
      <c r="F177" s="754"/>
      <c r="G177" s="754"/>
      <c r="H177" s="754"/>
      <c r="I177" s="1071" t="str">
        <f>IF($AB$3="ON","↑","")</f>
        <v>↑</v>
      </c>
      <c r="J177" s="754"/>
      <c r="K177" s="754"/>
      <c r="L177" s="754"/>
      <c r="M177" s="754"/>
      <c r="N177" s="762"/>
      <c r="O177" s="503"/>
      <c r="P177" s="764"/>
    </row>
    <row r="178" spans="2:16" x14ac:dyDescent="0.4">
      <c r="C178" s="757"/>
      <c r="D178" s="503"/>
      <c r="E178" s="759"/>
      <c r="F178" s="754"/>
      <c r="G178" s="754"/>
      <c r="H178" s="754"/>
      <c r="I178" s="195" t="s">
        <v>96</v>
      </c>
      <c r="J178" s="754"/>
      <c r="K178" s="754"/>
      <c r="L178" s="754"/>
      <c r="M178" s="754"/>
      <c r="N178" s="762"/>
      <c r="O178" s="503"/>
      <c r="P178" s="764"/>
    </row>
    <row r="179" spans="2:16" ht="12" x14ac:dyDescent="0.4">
      <c r="C179" s="757"/>
      <c r="D179" s="503"/>
      <c r="E179" s="759"/>
      <c r="F179" s="754"/>
      <c r="G179" s="754"/>
      <c r="H179" s="754"/>
      <c r="I179" s="1071" t="str">
        <f t="shared" ref="I179:I195" si="8">IF($AB$3="ON","↑","")</f>
        <v>↑</v>
      </c>
      <c r="J179" s="754"/>
      <c r="K179" s="754"/>
      <c r="L179" s="754"/>
      <c r="M179" s="754"/>
      <c r="N179" s="762"/>
      <c r="O179" s="503"/>
      <c r="P179" s="764"/>
    </row>
    <row r="180" spans="2:16" ht="12" x14ac:dyDescent="0.4">
      <c r="C180" s="757"/>
      <c r="D180" s="503"/>
      <c r="E180" s="759"/>
      <c r="F180" s="754"/>
      <c r="G180" s="754"/>
      <c r="H180" s="754"/>
      <c r="I180" s="1071" t="str">
        <f t="shared" si="8"/>
        <v>↑</v>
      </c>
      <c r="J180" s="754"/>
      <c r="K180" s="754"/>
      <c r="L180" s="754"/>
      <c r="M180" s="754"/>
      <c r="N180" s="762"/>
      <c r="O180" s="503"/>
      <c r="P180" s="764"/>
    </row>
    <row r="181" spans="2:16" ht="12" x14ac:dyDescent="0.4">
      <c r="C181" s="757"/>
      <c r="D181" s="503"/>
      <c r="E181" s="759"/>
      <c r="F181" s="754"/>
      <c r="G181" s="754"/>
      <c r="H181" s="754"/>
      <c r="I181" s="1071" t="str">
        <f t="shared" si="8"/>
        <v>↑</v>
      </c>
      <c r="J181" s="754"/>
      <c r="K181" s="754"/>
      <c r="L181" s="754"/>
      <c r="M181" s="754"/>
      <c r="N181" s="762"/>
      <c r="O181" s="503"/>
      <c r="P181" s="764"/>
    </row>
    <row r="182" spans="2:16" ht="12" x14ac:dyDescent="0.4">
      <c r="B182" s="125">
        <v>20</v>
      </c>
      <c r="C182" s="757"/>
      <c r="D182" s="503"/>
      <c r="E182" s="759"/>
      <c r="F182" s="754"/>
      <c r="G182" s="754"/>
      <c r="H182" s="754"/>
      <c r="I182" s="1071" t="str">
        <f t="shared" si="8"/>
        <v>↑</v>
      </c>
      <c r="J182" s="754"/>
      <c r="K182" s="195" t="s">
        <v>96</v>
      </c>
      <c r="L182" s="754"/>
      <c r="M182" s="754"/>
      <c r="N182" s="762"/>
      <c r="O182" s="503"/>
      <c r="P182" s="764"/>
    </row>
    <row r="183" spans="2:16" ht="12" x14ac:dyDescent="0.4">
      <c r="C183" s="757"/>
      <c r="D183" s="503"/>
      <c r="E183" s="759"/>
      <c r="F183" s="754"/>
      <c r="G183" s="754"/>
      <c r="H183" s="754"/>
      <c r="I183" s="1071" t="str">
        <f t="shared" si="8"/>
        <v>↑</v>
      </c>
      <c r="J183" s="754"/>
      <c r="K183" s="754"/>
      <c r="L183" s="754"/>
      <c r="M183" s="754"/>
      <c r="N183" s="762"/>
      <c r="O183" s="503"/>
      <c r="P183" s="764"/>
    </row>
    <row r="184" spans="2:16" ht="12" x14ac:dyDescent="0.4">
      <c r="C184" s="757"/>
      <c r="D184" s="503"/>
      <c r="E184" s="759"/>
      <c r="F184" s="754"/>
      <c r="G184" s="754"/>
      <c r="H184" s="754"/>
      <c r="I184" s="1071" t="str">
        <f t="shared" si="8"/>
        <v>↑</v>
      </c>
      <c r="J184" s="754"/>
      <c r="K184" s="754"/>
      <c r="L184" s="754"/>
      <c r="M184" s="754"/>
      <c r="N184" s="762"/>
      <c r="O184" s="503"/>
      <c r="P184" s="764"/>
    </row>
    <row r="185" spans="2:16" ht="12" x14ac:dyDescent="0.4">
      <c r="C185" s="757"/>
      <c r="D185" s="504"/>
      <c r="E185" s="760"/>
      <c r="F185" s="756"/>
      <c r="G185" s="756"/>
      <c r="H185" s="756"/>
      <c r="I185" s="1070" t="str">
        <f t="shared" si="8"/>
        <v>↑</v>
      </c>
      <c r="J185" s="756"/>
      <c r="K185" s="756"/>
      <c r="L185" s="756"/>
      <c r="M185" s="756"/>
      <c r="N185" s="763"/>
      <c r="O185" s="504"/>
      <c r="P185" s="765"/>
    </row>
    <row r="186" spans="2:16" ht="12" x14ac:dyDescent="0.4">
      <c r="C186" s="736"/>
      <c r="D186" s="728"/>
      <c r="E186" s="728"/>
      <c r="F186" s="728"/>
      <c r="G186" s="728"/>
      <c r="H186" s="728"/>
      <c r="I186" s="1069" t="str">
        <f t="shared" si="8"/>
        <v>↑</v>
      </c>
      <c r="J186" s="728"/>
      <c r="K186" s="728"/>
      <c r="L186" s="728"/>
      <c r="M186" s="728"/>
      <c r="N186" s="728"/>
      <c r="O186" s="729"/>
      <c r="P186" s="751" t="s">
        <v>650</v>
      </c>
    </row>
    <row r="187" spans="2:16" ht="12" x14ac:dyDescent="0.4">
      <c r="B187" s="125">
        <v>25</v>
      </c>
      <c r="C187" s="736"/>
      <c r="D187" s="731"/>
      <c r="E187" s="731"/>
      <c r="F187" s="731"/>
      <c r="G187" s="731"/>
      <c r="H187" s="731"/>
      <c r="I187" s="1068" t="str">
        <f t="shared" si="8"/>
        <v>↑</v>
      </c>
      <c r="J187" s="731"/>
      <c r="K187" s="731"/>
      <c r="L187" s="731"/>
      <c r="M187" s="731"/>
      <c r="N187" s="731"/>
      <c r="O187" s="732"/>
      <c r="P187" s="749"/>
    </row>
    <row r="188" spans="2:16" ht="12" x14ac:dyDescent="0.4">
      <c r="C188" s="736"/>
      <c r="D188" s="731"/>
      <c r="E188" s="731"/>
      <c r="F188" s="731"/>
      <c r="G188" s="731"/>
      <c r="H188" s="731"/>
      <c r="I188" s="1068" t="str">
        <f t="shared" si="8"/>
        <v>↑</v>
      </c>
      <c r="J188" s="731"/>
      <c r="K188" s="731"/>
      <c r="L188" s="731"/>
      <c r="M188" s="731"/>
      <c r="N188" s="731"/>
      <c r="O188" s="732"/>
      <c r="P188" s="749"/>
    </row>
    <row r="189" spans="2:16" ht="12" x14ac:dyDescent="0.4">
      <c r="C189" s="736"/>
      <c r="D189" s="731"/>
      <c r="E189" s="731"/>
      <c r="F189" s="731"/>
      <c r="G189" s="731"/>
      <c r="H189" s="731"/>
      <c r="I189" s="1068" t="str">
        <f t="shared" si="8"/>
        <v>↑</v>
      </c>
      <c r="J189" s="731"/>
      <c r="K189" s="731"/>
      <c r="L189" s="731"/>
      <c r="M189" s="731"/>
      <c r="N189" s="731"/>
      <c r="O189" s="732"/>
      <c r="P189" s="749"/>
    </row>
    <row r="190" spans="2:16" ht="12" x14ac:dyDescent="0.4">
      <c r="C190" s="736"/>
      <c r="D190" s="731"/>
      <c r="E190" s="731"/>
      <c r="F190" s="731"/>
      <c r="G190" s="731"/>
      <c r="H190" s="731"/>
      <c r="I190" s="1068" t="str">
        <f t="shared" si="8"/>
        <v>↑</v>
      </c>
      <c r="J190" s="731"/>
      <c r="K190" s="731"/>
      <c r="L190" s="731"/>
      <c r="M190" s="731"/>
      <c r="N190" s="731"/>
      <c r="O190" s="732"/>
      <c r="P190" s="749"/>
    </row>
    <row r="191" spans="2:16" ht="12" x14ac:dyDescent="0.4">
      <c r="C191" s="736"/>
      <c r="D191" s="731"/>
      <c r="E191" s="731"/>
      <c r="F191" s="731"/>
      <c r="G191" s="731"/>
      <c r="H191" s="731"/>
      <c r="I191" s="1068" t="str">
        <f t="shared" si="8"/>
        <v>↑</v>
      </c>
      <c r="J191" s="731"/>
      <c r="K191" s="731"/>
      <c r="L191" s="731"/>
      <c r="M191" s="731"/>
      <c r="N191" s="731"/>
      <c r="O191" s="732"/>
      <c r="P191" s="749"/>
    </row>
    <row r="192" spans="2:16" ht="12" x14ac:dyDescent="0.4">
      <c r="B192" s="125">
        <v>30</v>
      </c>
      <c r="C192" s="736"/>
      <c r="D192" s="731"/>
      <c r="E192" s="731"/>
      <c r="F192" s="731"/>
      <c r="G192" s="731"/>
      <c r="H192" s="731"/>
      <c r="I192" s="1068" t="str">
        <f t="shared" si="8"/>
        <v>↑</v>
      </c>
      <c r="J192" s="731"/>
      <c r="K192" s="731"/>
      <c r="L192" s="731"/>
      <c r="M192" s="731"/>
      <c r="N192" s="731"/>
      <c r="O192" s="752" t="s">
        <v>817</v>
      </c>
      <c r="P192" s="749"/>
    </row>
    <row r="193" spans="2:16" ht="12" x14ac:dyDescent="0.4">
      <c r="C193" s="736"/>
      <c r="D193" s="731"/>
      <c r="E193" s="731"/>
      <c r="F193" s="731"/>
      <c r="G193" s="731"/>
      <c r="H193" s="731"/>
      <c r="I193" s="1068" t="str">
        <f t="shared" si="8"/>
        <v>↑</v>
      </c>
      <c r="J193" s="731"/>
      <c r="K193" s="731"/>
      <c r="L193" s="731"/>
      <c r="M193" s="731"/>
      <c r="N193" s="731"/>
      <c r="O193" s="732"/>
      <c r="P193" s="749"/>
    </row>
    <row r="194" spans="2:16" ht="12" x14ac:dyDescent="0.4">
      <c r="C194" s="736"/>
      <c r="D194" s="731"/>
      <c r="E194" s="731"/>
      <c r="F194" s="731"/>
      <c r="G194" s="731"/>
      <c r="H194" s="731"/>
      <c r="I194" s="1068" t="str">
        <f t="shared" si="8"/>
        <v>↑</v>
      </c>
      <c r="J194" s="731"/>
      <c r="K194" s="731"/>
      <c r="L194" s="731"/>
      <c r="M194" s="731"/>
      <c r="N194" s="731"/>
      <c r="O194" s="732"/>
      <c r="P194" s="749"/>
    </row>
    <row r="195" spans="2:16" ht="12" x14ac:dyDescent="0.4">
      <c r="C195" s="737"/>
      <c r="D195" s="731"/>
      <c r="E195" s="731"/>
      <c r="F195" s="731"/>
      <c r="G195" s="731"/>
      <c r="H195" s="731"/>
      <c r="I195" s="1068" t="str">
        <f t="shared" si="8"/>
        <v>↑</v>
      </c>
      <c r="J195" s="731"/>
      <c r="K195" s="731"/>
      <c r="L195" s="731"/>
      <c r="M195" s="731"/>
      <c r="N195" s="731"/>
      <c r="O195" s="732"/>
      <c r="P195" s="749"/>
    </row>
    <row r="196" spans="2:16" x14ac:dyDescent="0.4">
      <c r="C196" s="422" t="s">
        <v>816</v>
      </c>
      <c r="D196" s="730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49"/>
    </row>
    <row r="197" spans="2:16" ht="12" x14ac:dyDescent="0.4">
      <c r="B197" s="125">
        <v>35</v>
      </c>
      <c r="C197" s="221"/>
      <c r="D197" s="730"/>
      <c r="E197" s="731"/>
      <c r="F197" s="731"/>
      <c r="G197" s="731"/>
      <c r="H197" s="731"/>
      <c r="I197" s="1068" t="str">
        <f t="shared" ref="I197:I204" si="9">IF($AB$3="ON","↑","")</f>
        <v>↑</v>
      </c>
      <c r="J197" s="731"/>
      <c r="K197" s="731"/>
      <c r="L197" s="731"/>
      <c r="M197" s="731"/>
      <c r="N197" s="731"/>
      <c r="O197" s="732"/>
      <c r="P197" s="749"/>
    </row>
    <row r="198" spans="2:16" ht="12" x14ac:dyDescent="0.4">
      <c r="C198" s="221"/>
      <c r="D198" s="730"/>
      <c r="E198" s="731"/>
      <c r="F198" s="731"/>
      <c r="G198" s="731"/>
      <c r="H198" s="731"/>
      <c r="I198" s="1068" t="str">
        <f t="shared" si="9"/>
        <v>↑</v>
      </c>
      <c r="J198" s="731"/>
      <c r="K198" s="731"/>
      <c r="L198" s="731"/>
      <c r="M198" s="731"/>
      <c r="N198" s="731"/>
      <c r="O198" s="732"/>
      <c r="P198" s="749"/>
    </row>
    <row r="199" spans="2:16" ht="12" x14ac:dyDescent="0.4">
      <c r="C199" s="225"/>
      <c r="D199" s="730"/>
      <c r="E199" s="731"/>
      <c r="F199" s="731"/>
      <c r="G199" s="731"/>
      <c r="H199" s="731"/>
      <c r="I199" s="1068" t="str">
        <f t="shared" si="9"/>
        <v>↑</v>
      </c>
      <c r="J199" s="731"/>
      <c r="K199" s="731"/>
      <c r="L199" s="731"/>
      <c r="M199" s="731"/>
      <c r="N199" s="731"/>
      <c r="O199" s="732"/>
      <c r="P199" s="749"/>
    </row>
    <row r="200" spans="2:16" ht="12" x14ac:dyDescent="0.4">
      <c r="C200" s="735"/>
      <c r="D200" s="731"/>
      <c r="E200" s="731"/>
      <c r="F200" s="731"/>
      <c r="G200" s="731"/>
      <c r="H200" s="731"/>
      <c r="I200" s="1068" t="str">
        <f t="shared" si="9"/>
        <v>↑</v>
      </c>
      <c r="J200" s="731"/>
      <c r="K200" s="731"/>
      <c r="L200" s="731"/>
      <c r="M200" s="731"/>
      <c r="N200" s="731"/>
      <c r="O200" s="732"/>
      <c r="P200" s="749"/>
    </row>
    <row r="201" spans="2:16" ht="12" x14ac:dyDescent="0.4">
      <c r="C201" s="736"/>
      <c r="D201" s="731"/>
      <c r="E201" s="731"/>
      <c r="F201" s="731"/>
      <c r="G201" s="734"/>
      <c r="H201" s="734"/>
      <c r="I201" s="1067" t="str">
        <f t="shared" si="9"/>
        <v>↑</v>
      </c>
      <c r="J201" s="734"/>
      <c r="K201" s="734"/>
      <c r="L201" s="734"/>
      <c r="M201" s="731"/>
      <c r="N201" s="731"/>
      <c r="O201" s="732"/>
      <c r="P201" s="749"/>
    </row>
    <row r="202" spans="2:16" ht="12" x14ac:dyDescent="0.4">
      <c r="B202" s="125">
        <v>40</v>
      </c>
      <c r="C202" s="736"/>
      <c r="D202" s="731"/>
      <c r="E202" s="731"/>
      <c r="F202" s="732"/>
      <c r="G202" s="404" t="s">
        <v>433</v>
      </c>
      <c r="H202" s="396"/>
      <c r="I202" s="1066" t="str">
        <f t="shared" si="9"/>
        <v>↑</v>
      </c>
      <c r="J202" s="396"/>
      <c r="K202" s="396"/>
      <c r="L202" s="401"/>
      <c r="M202" s="730"/>
      <c r="N202" s="731"/>
      <c r="O202" s="732"/>
      <c r="P202" s="749"/>
    </row>
    <row r="203" spans="2:16" ht="12" x14ac:dyDescent="0.4">
      <c r="C203" s="736"/>
      <c r="D203" s="731"/>
      <c r="E203" s="731"/>
      <c r="F203" s="732"/>
      <c r="G203" s="398"/>
      <c r="H203" s="395"/>
      <c r="I203" s="1065" t="str">
        <f t="shared" si="9"/>
        <v>↑</v>
      </c>
      <c r="J203" s="395"/>
      <c r="K203" s="395"/>
      <c r="L203" s="402"/>
      <c r="M203" s="730"/>
      <c r="N203" s="731"/>
      <c r="O203" s="732"/>
      <c r="P203" s="750"/>
    </row>
    <row r="204" spans="2:16" ht="12" x14ac:dyDescent="0.4">
      <c r="C204" s="736"/>
      <c r="D204" s="731"/>
      <c r="E204" s="731"/>
      <c r="F204" s="732"/>
      <c r="G204" s="399"/>
      <c r="H204" s="400"/>
      <c r="I204" s="1064" t="str">
        <f t="shared" si="9"/>
        <v>↑</v>
      </c>
      <c r="J204" s="400"/>
      <c r="K204" s="400"/>
      <c r="L204" s="403"/>
      <c r="M204" s="730"/>
      <c r="N204" s="731"/>
      <c r="O204" s="731"/>
      <c r="P204" s="748"/>
    </row>
    <row r="205" spans="2:16" ht="11.25" thickBot="1" x14ac:dyDescent="0.45">
      <c r="C205" s="741"/>
      <c r="D205" s="742"/>
      <c r="E205" s="742"/>
      <c r="F205" s="742"/>
      <c r="G205" s="753"/>
      <c r="H205" s="753"/>
      <c r="I205" s="767" t="s">
        <v>508</v>
      </c>
      <c r="J205" s="753"/>
      <c r="K205" s="753"/>
      <c r="L205" s="753"/>
      <c r="M205" s="742"/>
      <c r="N205" s="742"/>
      <c r="O205" s="742"/>
      <c r="P205" s="746"/>
    </row>
    <row r="209" spans="2:73" ht="15.75" x14ac:dyDescent="0.4">
      <c r="B209" s="122" t="s">
        <v>832</v>
      </c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3" t="s">
        <v>833</v>
      </c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</row>
    <row r="210" spans="2:73" ht="12" x14ac:dyDescent="0.4">
      <c r="B210" s="124" t="s">
        <v>834</v>
      </c>
    </row>
    <row r="211" spans="2:73" ht="12.75" thickBot="1" x14ac:dyDescent="0.45">
      <c r="C211" s="125">
        <v>0</v>
      </c>
      <c r="H211" s="125">
        <v>5</v>
      </c>
      <c r="M211" s="125">
        <v>10</v>
      </c>
      <c r="R211" s="125">
        <v>15</v>
      </c>
      <c r="BR211" s="272" t="s">
        <v>310</v>
      </c>
      <c r="BS211" s="272" t="s">
        <v>529</v>
      </c>
      <c r="BT211" s="272" t="s">
        <v>530</v>
      </c>
      <c r="BU211" s="272" t="s">
        <v>531</v>
      </c>
    </row>
    <row r="212" spans="2:73" ht="12" x14ac:dyDescent="0.4">
      <c r="B212" s="125">
        <v>0</v>
      </c>
      <c r="C212" s="775" t="s">
        <v>836</v>
      </c>
      <c r="D212" s="774"/>
      <c r="E212" s="769"/>
      <c r="F212" s="769"/>
      <c r="G212" s="769"/>
      <c r="H212" s="769"/>
      <c r="I212" s="769"/>
      <c r="J212" s="769"/>
      <c r="K212" s="769"/>
      <c r="L212" s="770"/>
      <c r="M212" s="773" t="s">
        <v>456</v>
      </c>
      <c r="N212" s="771"/>
      <c r="O212" s="771"/>
      <c r="P212" s="771"/>
      <c r="Q212" s="771"/>
      <c r="R212" s="772"/>
      <c r="S212" s="768"/>
      <c r="T212" s="623"/>
      <c r="BR212" s="1019" t="s">
        <v>421</v>
      </c>
      <c r="BS212" s="1019" t="s">
        <v>421</v>
      </c>
      <c r="BT212" s="1019" t="s">
        <v>780</v>
      </c>
      <c r="BU212" s="1019" t="s">
        <v>753</v>
      </c>
    </row>
    <row r="213" spans="2:73" ht="12" x14ac:dyDescent="0.4">
      <c r="C213" s="776"/>
      <c r="D213" s="606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10"/>
      <c r="T213" s="624"/>
      <c r="BR213" s="1019" t="s">
        <v>456</v>
      </c>
      <c r="BS213" s="1019" t="s">
        <v>456</v>
      </c>
      <c r="BT213" s="1019" t="s">
        <v>695</v>
      </c>
      <c r="BU213" s="1019" t="s">
        <v>607</v>
      </c>
    </row>
    <row r="214" spans="2:73" ht="12" x14ac:dyDescent="0.4">
      <c r="C214" s="777"/>
      <c r="D214" s="609"/>
      <c r="E214" s="610"/>
      <c r="F214" s="610"/>
      <c r="G214" s="610"/>
      <c r="H214" s="610"/>
      <c r="I214" s="610"/>
      <c r="J214" s="610"/>
      <c r="K214" s="610"/>
      <c r="L214" s="610"/>
      <c r="M214" s="610"/>
      <c r="N214" s="610"/>
      <c r="O214" s="584" t="s">
        <v>733</v>
      </c>
      <c r="P214" s="610"/>
      <c r="Q214" s="610"/>
      <c r="R214" s="610"/>
      <c r="S214" s="610"/>
      <c r="T214" s="624"/>
      <c r="BR214" s="1019" t="s">
        <v>835</v>
      </c>
      <c r="BS214" s="1019" t="s">
        <v>421</v>
      </c>
      <c r="BT214" s="1019" t="s">
        <v>840</v>
      </c>
      <c r="BU214" s="1019" t="s">
        <v>753</v>
      </c>
    </row>
    <row r="215" spans="2:73" ht="12" x14ac:dyDescent="0.4">
      <c r="C215" s="777"/>
      <c r="D215" s="612"/>
      <c r="E215" s="613"/>
      <c r="F215" s="610"/>
      <c r="G215" s="610"/>
      <c r="H215" s="610"/>
      <c r="I215" s="610"/>
      <c r="J215" s="610"/>
      <c r="K215" s="610"/>
      <c r="L215" s="610"/>
      <c r="M215" s="610"/>
      <c r="N215" s="610"/>
      <c r="O215" s="1052" t="str">
        <f>IF($AB$3="ON","↑","")</f>
        <v>↑</v>
      </c>
      <c r="P215" s="610"/>
      <c r="Q215" s="610"/>
      <c r="R215" s="610"/>
      <c r="S215" s="610"/>
      <c r="T215" s="624"/>
      <c r="BR215" s="1019" t="s">
        <v>462</v>
      </c>
      <c r="BS215" s="1019" t="s">
        <v>462</v>
      </c>
      <c r="BT215" s="1019" t="s">
        <v>586</v>
      </c>
      <c r="BU215" s="1019" t="s">
        <v>841</v>
      </c>
    </row>
    <row r="216" spans="2:73" ht="12" x14ac:dyDescent="0.4">
      <c r="C216" s="781"/>
      <c r="D216" s="785" t="s">
        <v>462</v>
      </c>
      <c r="E216" s="783"/>
      <c r="F216" s="609"/>
      <c r="G216" s="610"/>
      <c r="H216" s="610"/>
      <c r="I216" s="610"/>
      <c r="J216" s="610"/>
      <c r="K216" s="610"/>
      <c r="L216" s="610"/>
      <c r="M216" s="610"/>
      <c r="N216" s="610"/>
      <c r="O216" s="1052" t="str">
        <f>IF($AB$3="ON","↑","")</f>
        <v>↑</v>
      </c>
      <c r="P216" s="610"/>
      <c r="Q216" s="610"/>
      <c r="R216" s="610"/>
      <c r="S216" s="610"/>
      <c r="T216" s="624"/>
      <c r="BR216" s="1019" t="s">
        <v>462</v>
      </c>
      <c r="BS216" s="1019" t="s">
        <v>462</v>
      </c>
      <c r="BT216" s="1019" t="s">
        <v>586</v>
      </c>
      <c r="BU216" s="1019" t="s">
        <v>842</v>
      </c>
    </row>
    <row r="217" spans="2:73" ht="12" x14ac:dyDescent="0.4">
      <c r="B217" s="125">
        <v>5</v>
      </c>
      <c r="C217" s="781"/>
      <c r="D217" s="782"/>
      <c r="E217" s="784"/>
      <c r="F217" s="609"/>
      <c r="G217" s="610"/>
      <c r="H217" s="610"/>
      <c r="I217" s="610"/>
      <c r="J217" s="610"/>
      <c r="K217" s="610"/>
      <c r="L217" s="610"/>
      <c r="M217" s="610"/>
      <c r="N217" s="610"/>
      <c r="O217" s="1052" t="str">
        <f>IF($AB$3="ON","↑","")</f>
        <v>↑</v>
      </c>
      <c r="P217" s="610"/>
      <c r="Q217" s="610"/>
      <c r="R217" s="610"/>
      <c r="S217" s="610"/>
      <c r="T217" s="624"/>
      <c r="BR217" s="1019" t="s">
        <v>837</v>
      </c>
      <c r="BS217" s="1019" t="s">
        <v>435</v>
      </c>
      <c r="BT217" s="1019" t="s">
        <v>632</v>
      </c>
      <c r="BU217" s="1019" t="s">
        <v>690</v>
      </c>
    </row>
    <row r="218" spans="2:73" ht="12" x14ac:dyDescent="0.4">
      <c r="C218" s="777"/>
      <c r="D218" s="606"/>
      <c r="E218" s="607"/>
      <c r="F218" s="610"/>
      <c r="G218" s="610"/>
      <c r="H218" s="610"/>
      <c r="I218" s="610"/>
      <c r="J218" s="610"/>
      <c r="K218" s="268" t="s">
        <v>838</v>
      </c>
      <c r="L218" s="610"/>
      <c r="M218" s="791" t="s">
        <v>353</v>
      </c>
      <c r="N218" s="610"/>
      <c r="O218" s="610"/>
      <c r="P218" s="610"/>
      <c r="Q218" s="610"/>
      <c r="R218" s="610"/>
      <c r="S218" s="610"/>
      <c r="T218" s="624"/>
      <c r="BR218" s="1019" t="s">
        <v>838</v>
      </c>
      <c r="BS218" s="1019" t="s">
        <v>495</v>
      </c>
      <c r="BT218" s="1019" t="s">
        <v>539</v>
      </c>
      <c r="BU218" s="1019" t="s">
        <v>843</v>
      </c>
    </row>
    <row r="219" spans="2:73" ht="12" x14ac:dyDescent="0.4">
      <c r="C219" s="777"/>
      <c r="D219" s="612"/>
      <c r="E219" s="613"/>
      <c r="F219" s="610"/>
      <c r="G219" s="610"/>
      <c r="H219" s="610"/>
      <c r="I219" s="610"/>
      <c r="J219" s="610"/>
      <c r="K219" s="1052" t="str">
        <f>IF($AB$3="ON","→","")</f>
        <v>→</v>
      </c>
      <c r="L219" s="1052" t="str">
        <f>IF($AB$3="ON","→","")</f>
        <v>→</v>
      </c>
      <c r="M219" s="1052" t="str">
        <f>IF($AB$3="ON","→","")</f>
        <v>→</v>
      </c>
      <c r="N219" s="1052" t="str">
        <f>IF($AB$3="ON","→","")</f>
        <v>→</v>
      </c>
      <c r="O219" s="1052" t="str">
        <f>IF($AB$3="ON","↑","")</f>
        <v>↑</v>
      </c>
      <c r="P219" s="610"/>
      <c r="Q219" s="610"/>
      <c r="R219" s="610"/>
      <c r="S219" s="610"/>
      <c r="T219" s="624"/>
      <c r="BR219" s="1019" t="s">
        <v>353</v>
      </c>
      <c r="BS219" s="1019" t="s">
        <v>353</v>
      </c>
      <c r="BT219" s="1019" t="s">
        <v>539</v>
      </c>
      <c r="BU219" s="1019" t="s">
        <v>844</v>
      </c>
    </row>
    <row r="220" spans="2:73" ht="12" x14ac:dyDescent="0.4">
      <c r="C220" s="781"/>
      <c r="D220" s="785" t="s">
        <v>462</v>
      </c>
      <c r="E220" s="783"/>
      <c r="F220" s="609"/>
      <c r="G220" s="610"/>
      <c r="H220" s="610"/>
      <c r="I220" s="610"/>
      <c r="J220" s="610"/>
      <c r="K220" s="1052" t="str">
        <f t="shared" ref="K220:K226" si="10">IF($AB$3="ON","↑","")</f>
        <v>↑</v>
      </c>
      <c r="L220" s="610"/>
      <c r="M220" s="610"/>
      <c r="N220" s="610"/>
      <c r="O220" s="610"/>
      <c r="P220" s="610"/>
      <c r="Q220" s="610"/>
      <c r="R220" s="610"/>
      <c r="S220" s="610"/>
      <c r="T220" s="624"/>
      <c r="BR220" s="1019" t="s">
        <v>733</v>
      </c>
      <c r="BS220" s="1019" t="s">
        <v>491</v>
      </c>
      <c r="BT220" s="1019" t="s">
        <v>539</v>
      </c>
      <c r="BU220" s="1019" t="s">
        <v>845</v>
      </c>
    </row>
    <row r="221" spans="2:73" ht="12" x14ac:dyDescent="0.4">
      <c r="C221" s="781"/>
      <c r="D221" s="782"/>
      <c r="E221" s="784"/>
      <c r="F221" s="609"/>
      <c r="G221" s="610"/>
      <c r="H221" s="610"/>
      <c r="I221" s="610"/>
      <c r="J221" s="610"/>
      <c r="K221" s="1052" t="str">
        <f t="shared" si="10"/>
        <v>↑</v>
      </c>
      <c r="L221" s="610"/>
      <c r="M221" s="610"/>
      <c r="N221" s="610"/>
      <c r="O221" s="610"/>
      <c r="P221" s="610"/>
      <c r="Q221" s="613"/>
      <c r="R221" s="613"/>
      <c r="S221" s="613"/>
      <c r="T221" s="624"/>
      <c r="BR221" s="1019" t="s">
        <v>733</v>
      </c>
      <c r="BS221" s="1019" t="s">
        <v>491</v>
      </c>
      <c r="BT221" s="1019" t="s">
        <v>539</v>
      </c>
      <c r="BU221" s="1019" t="s">
        <v>757</v>
      </c>
    </row>
    <row r="222" spans="2:73" ht="12" x14ac:dyDescent="0.4">
      <c r="B222" s="125">
        <v>10</v>
      </c>
      <c r="C222" s="777"/>
      <c r="D222" s="606"/>
      <c r="E222" s="607"/>
      <c r="F222" s="610"/>
      <c r="G222" s="610"/>
      <c r="H222" s="610"/>
      <c r="I222" s="610"/>
      <c r="J222" s="610"/>
      <c r="K222" s="1052" t="str">
        <f t="shared" si="10"/>
        <v>↑</v>
      </c>
      <c r="L222" s="610"/>
      <c r="M222" s="610"/>
      <c r="N222" s="610"/>
      <c r="O222" s="610"/>
      <c r="P222" s="611"/>
      <c r="Q222" s="790" t="s">
        <v>837</v>
      </c>
      <c r="R222" s="445"/>
      <c r="S222" s="446"/>
      <c r="T222" s="787"/>
      <c r="BR222" s="1019" t="s">
        <v>733</v>
      </c>
      <c r="BS222" s="1019" t="s">
        <v>491</v>
      </c>
      <c r="BT222" s="1019" t="s">
        <v>539</v>
      </c>
      <c r="BU222" s="1019" t="s">
        <v>846</v>
      </c>
    </row>
    <row r="223" spans="2:73" ht="12" x14ac:dyDescent="0.4">
      <c r="C223" s="777"/>
      <c r="D223" s="609"/>
      <c r="E223" s="610"/>
      <c r="F223" s="610"/>
      <c r="G223" s="610"/>
      <c r="H223" s="610"/>
      <c r="I223" s="610"/>
      <c r="J223" s="610"/>
      <c r="K223" s="1052" t="str">
        <f t="shared" si="10"/>
        <v>↑</v>
      </c>
      <c r="L223" s="610"/>
      <c r="M223" s="610"/>
      <c r="N223" s="610"/>
      <c r="O223" s="610"/>
      <c r="P223" s="611"/>
      <c r="Q223" s="788"/>
      <c r="R223" s="786"/>
      <c r="S223" s="789"/>
      <c r="T223" s="787"/>
      <c r="BR223" s="1019" t="s">
        <v>733</v>
      </c>
      <c r="BS223" s="1019" t="s">
        <v>491</v>
      </c>
      <c r="BT223" s="1019" t="s">
        <v>539</v>
      </c>
      <c r="BU223" s="1019" t="s">
        <v>847</v>
      </c>
    </row>
    <row r="224" spans="2:73" ht="12" x14ac:dyDescent="0.4">
      <c r="C224" s="777"/>
      <c r="D224" s="609"/>
      <c r="E224" s="610"/>
      <c r="F224" s="610"/>
      <c r="G224" s="610"/>
      <c r="H224" s="610"/>
      <c r="I224" s="610"/>
      <c r="J224" s="610"/>
      <c r="K224" s="1052" t="str">
        <f t="shared" si="10"/>
        <v>↑</v>
      </c>
      <c r="L224" s="610"/>
      <c r="M224" s="610"/>
      <c r="N224" s="610"/>
      <c r="O224" s="610"/>
      <c r="P224" s="611"/>
      <c r="Q224" s="437"/>
      <c r="R224" s="438"/>
      <c r="S224" s="439"/>
      <c r="T224" s="787"/>
      <c r="BR224" s="1019" t="s">
        <v>839</v>
      </c>
      <c r="BS224" s="1019" t="s">
        <v>443</v>
      </c>
      <c r="BT224" s="1019" t="s">
        <v>586</v>
      </c>
      <c r="BU224" s="1019" t="s">
        <v>848</v>
      </c>
    </row>
    <row r="225" spans="2:73" ht="12" x14ac:dyDescent="0.4">
      <c r="C225" s="777"/>
      <c r="D225" s="609"/>
      <c r="E225" s="610"/>
      <c r="F225" s="610"/>
      <c r="G225" s="610"/>
      <c r="H225" s="610"/>
      <c r="I225" s="610"/>
      <c r="J225" s="610"/>
      <c r="K225" s="1052" t="str">
        <f t="shared" si="10"/>
        <v>↑</v>
      </c>
      <c r="L225" s="610"/>
      <c r="M225" s="610"/>
      <c r="N225" s="610"/>
      <c r="O225" s="610"/>
      <c r="P225" s="610"/>
      <c r="Q225" s="607"/>
      <c r="R225" s="607"/>
      <c r="S225" s="607"/>
      <c r="T225" s="624"/>
      <c r="BR225" s="1019" t="s">
        <v>508</v>
      </c>
      <c r="BS225" s="1019" t="s">
        <v>486</v>
      </c>
      <c r="BT225" s="1019" t="s">
        <v>539</v>
      </c>
      <c r="BU225" s="1019" t="s">
        <v>849</v>
      </c>
    </row>
    <row r="226" spans="2:73" ht="12" x14ac:dyDescent="0.4">
      <c r="C226" s="777"/>
      <c r="D226" s="609"/>
      <c r="E226" s="610"/>
      <c r="F226" s="1052" t="str">
        <f>IF($AB$3="ON","→","")</f>
        <v>→</v>
      </c>
      <c r="G226" s="1052" t="str">
        <f>IF($AB$3="ON","→","")</f>
        <v>→</v>
      </c>
      <c r="H226" s="1052" t="str">
        <f>IF($AB$3="ON","→","")</f>
        <v>→</v>
      </c>
      <c r="I226" s="1052" t="str">
        <f>IF($AB$3="ON","→","")</f>
        <v>→</v>
      </c>
      <c r="J226" s="1052" t="str">
        <f>IF($AB$3="ON","→","")</f>
        <v>→</v>
      </c>
      <c r="K226" s="1052" t="str">
        <f t="shared" si="10"/>
        <v>↑</v>
      </c>
      <c r="L226" s="610"/>
      <c r="M226" s="610"/>
      <c r="N226" s="610"/>
      <c r="O226" s="610"/>
      <c r="P226" s="610"/>
      <c r="Q226" s="610"/>
      <c r="R226" s="610"/>
      <c r="S226" s="610"/>
      <c r="T226" s="624"/>
    </row>
    <row r="227" spans="2:73" x14ac:dyDescent="0.4">
      <c r="B227" s="125">
        <v>15</v>
      </c>
      <c r="C227" s="777"/>
      <c r="D227" s="609"/>
      <c r="E227" s="610"/>
      <c r="F227" s="584" t="s">
        <v>733</v>
      </c>
      <c r="G227" s="610"/>
      <c r="H227" s="584" t="s">
        <v>733</v>
      </c>
      <c r="I227" s="610"/>
      <c r="J227" s="584" t="s">
        <v>733</v>
      </c>
      <c r="K227" s="610"/>
      <c r="L227" s="610"/>
      <c r="M227" s="610"/>
      <c r="N227" s="610"/>
      <c r="O227" s="610"/>
      <c r="P227" s="610"/>
      <c r="Q227" s="610"/>
      <c r="R227" s="613"/>
      <c r="S227" s="613"/>
      <c r="T227" s="624"/>
    </row>
    <row r="228" spans="2:73" ht="12" x14ac:dyDescent="0.4">
      <c r="C228" s="777"/>
      <c r="D228" s="609"/>
      <c r="E228" s="610"/>
      <c r="F228" s="1052" t="str">
        <f>IF($AB$3="ON","↑","")</f>
        <v>↑</v>
      </c>
      <c r="G228" s="1052" t="str">
        <f>IF($AB$3="ON","←","")</f>
        <v>←</v>
      </c>
      <c r="H228" s="1052" t="str">
        <f>IF($AB$3="ON","←","")</f>
        <v>←</v>
      </c>
      <c r="I228" s="1052" t="str">
        <f>IF($AB$3="ON","←","")</f>
        <v>←</v>
      </c>
      <c r="J228" s="1052" t="str">
        <f>IF($AB$3="ON","←","")</f>
        <v>←</v>
      </c>
      <c r="K228" s="1052" t="str">
        <f>IF($AB$3="ON","←","")</f>
        <v>←</v>
      </c>
      <c r="L228" s="610"/>
      <c r="M228" s="610"/>
      <c r="N228" s="610"/>
      <c r="O228" s="610"/>
      <c r="P228" s="610"/>
      <c r="Q228" s="611"/>
      <c r="R228" s="638" t="s">
        <v>839</v>
      </c>
      <c r="S228" s="636"/>
      <c r="T228" s="787"/>
    </row>
    <row r="229" spans="2:73" ht="12" x14ac:dyDescent="0.4">
      <c r="C229" s="777"/>
      <c r="D229" s="609"/>
      <c r="E229" s="610"/>
      <c r="F229" s="610"/>
      <c r="G229" s="610"/>
      <c r="H229" s="610"/>
      <c r="I229" s="610"/>
      <c r="J229" s="610"/>
      <c r="K229" s="1052" t="str">
        <f>IF($AB$3="ON","↑","")</f>
        <v>↑</v>
      </c>
      <c r="L229" s="610"/>
      <c r="M229" s="610"/>
      <c r="N229" s="610"/>
      <c r="O229" s="610"/>
      <c r="P229" s="610"/>
      <c r="Q229" s="611"/>
      <c r="R229" s="634"/>
      <c r="S229" s="637"/>
      <c r="T229" s="787"/>
    </row>
    <row r="230" spans="2:73" ht="12" x14ac:dyDescent="0.4">
      <c r="C230" s="777"/>
      <c r="D230" s="609"/>
      <c r="E230" s="610"/>
      <c r="F230" s="610"/>
      <c r="G230" s="610"/>
      <c r="H230" s="610"/>
      <c r="I230" s="610"/>
      <c r="J230" s="610"/>
      <c r="K230" s="1052" t="str">
        <f>IF($AB$3="ON","↑","")</f>
        <v>↑</v>
      </c>
      <c r="L230" s="610"/>
      <c r="M230" s="610"/>
      <c r="N230" s="610"/>
      <c r="O230" s="610"/>
      <c r="P230" s="610"/>
      <c r="Q230" s="610"/>
      <c r="R230" s="607"/>
      <c r="S230" s="607"/>
      <c r="T230" s="624"/>
    </row>
    <row r="231" spans="2:73" ht="11.25" thickBot="1" x14ac:dyDescent="0.45">
      <c r="C231" s="778"/>
      <c r="D231" s="640"/>
      <c r="E231" s="621"/>
      <c r="F231" s="621"/>
      <c r="G231" s="621"/>
      <c r="H231" s="621"/>
      <c r="I231" s="621"/>
      <c r="J231" s="621"/>
      <c r="K231" s="643" t="s">
        <v>508</v>
      </c>
      <c r="L231" s="621"/>
      <c r="M231" s="621"/>
      <c r="N231" s="621"/>
      <c r="O231" s="621"/>
      <c r="P231" s="621"/>
      <c r="Q231" s="621"/>
      <c r="R231" s="621"/>
      <c r="S231" s="621"/>
      <c r="T231" s="625"/>
    </row>
    <row r="235" spans="2:73" ht="15.75" x14ac:dyDescent="0.4">
      <c r="B235" s="122" t="s">
        <v>850</v>
      </c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21"/>
      <c r="BJ235" s="123" t="s">
        <v>851</v>
      </c>
      <c r="BK235" s="121"/>
      <c r="BL235" s="121"/>
      <c r="BM235" s="121"/>
      <c r="BN235" s="121"/>
      <c r="BO235" s="121"/>
      <c r="BP235" s="121"/>
      <c r="BQ235" s="121"/>
      <c r="BR235" s="121"/>
      <c r="BS235" s="121"/>
      <c r="BT235" s="121"/>
      <c r="BU235" s="121"/>
    </row>
    <row r="237" spans="2:73" ht="12" x14ac:dyDescent="0.4">
      <c r="C237" s="125">
        <v>0</v>
      </c>
      <c r="H237" s="125">
        <v>5</v>
      </c>
      <c r="M237" s="125">
        <v>10</v>
      </c>
      <c r="R237" s="125">
        <v>15</v>
      </c>
      <c r="BR237" s="272" t="s">
        <v>310</v>
      </c>
      <c r="BS237" s="272" t="s">
        <v>529</v>
      </c>
      <c r="BT237" s="272" t="s">
        <v>530</v>
      </c>
      <c r="BU237" s="272" t="s">
        <v>531</v>
      </c>
    </row>
    <row r="238" spans="2:73" ht="12" x14ac:dyDescent="0.4">
      <c r="B238" s="125">
        <v>0</v>
      </c>
      <c r="C238" s="506"/>
      <c r="D238" s="499"/>
      <c r="E238" s="147"/>
      <c r="F238" s="147"/>
      <c r="G238" s="147"/>
      <c r="H238" s="147"/>
      <c r="I238" s="505"/>
      <c r="J238" s="485" t="s">
        <v>853</v>
      </c>
      <c r="K238" s="483"/>
      <c r="L238" s="483"/>
      <c r="M238" s="483"/>
      <c r="N238" s="484"/>
      <c r="O238" s="499"/>
      <c r="P238" s="147"/>
      <c r="Q238" s="147"/>
      <c r="R238" s="147"/>
      <c r="S238" s="505"/>
      <c r="T238" s="506"/>
      <c r="BR238" s="1019" t="s">
        <v>484</v>
      </c>
      <c r="BS238" s="1019" t="s">
        <v>484</v>
      </c>
      <c r="BT238" s="1019" t="s">
        <v>616</v>
      </c>
      <c r="BU238" s="1019" t="s">
        <v>592</v>
      </c>
    </row>
    <row r="239" spans="2:73" ht="12" x14ac:dyDescent="0.4">
      <c r="C239" s="502"/>
      <c r="D239" s="488"/>
      <c r="E239" s="489"/>
      <c r="F239" s="489"/>
      <c r="G239" s="489"/>
      <c r="H239" s="489"/>
      <c r="I239" s="489"/>
      <c r="J239" s="489"/>
      <c r="K239" s="489"/>
      <c r="L239" s="1039" t="str">
        <f>IF($AB$3="ON","↑","")</f>
        <v>↑</v>
      </c>
      <c r="M239" s="489"/>
      <c r="N239" s="489"/>
      <c r="O239" s="489"/>
      <c r="P239" s="489"/>
      <c r="Q239" s="489"/>
      <c r="R239" s="489"/>
      <c r="S239" s="490"/>
      <c r="T239" s="502"/>
      <c r="BR239" s="1019" t="s">
        <v>484</v>
      </c>
      <c r="BS239" s="1019" t="s">
        <v>484</v>
      </c>
      <c r="BT239" s="1019" t="s">
        <v>545</v>
      </c>
      <c r="BU239" s="1019" t="s">
        <v>855</v>
      </c>
    </row>
    <row r="240" spans="2:73" ht="12" x14ac:dyDescent="0.4">
      <c r="C240" s="503"/>
      <c r="D240" s="491"/>
      <c r="E240" s="492"/>
      <c r="F240" s="492"/>
      <c r="G240" s="492"/>
      <c r="H240" s="492"/>
      <c r="I240" s="492"/>
      <c r="J240" s="492"/>
      <c r="K240" s="492"/>
      <c r="L240" s="1040" t="str">
        <f>IF($AB$3="ON","↑","")</f>
        <v>↑</v>
      </c>
      <c r="M240" s="492"/>
      <c r="N240" s="492"/>
      <c r="O240" s="492"/>
      <c r="P240" s="492"/>
      <c r="Q240" s="492"/>
      <c r="R240" s="492"/>
      <c r="S240" s="493"/>
      <c r="T240" s="503"/>
      <c r="BR240" s="1019" t="s">
        <v>484</v>
      </c>
      <c r="BS240" s="1019" t="s">
        <v>484</v>
      </c>
      <c r="BT240" s="1019" t="s">
        <v>534</v>
      </c>
      <c r="BU240" s="1019" t="s">
        <v>856</v>
      </c>
    </row>
    <row r="241" spans="2:73" ht="12" x14ac:dyDescent="0.4">
      <c r="C241" s="503"/>
      <c r="D241" s="491"/>
      <c r="E241" s="495"/>
      <c r="F241" s="495"/>
      <c r="G241" s="492"/>
      <c r="H241" s="492"/>
      <c r="I241" s="492"/>
      <c r="J241" s="492"/>
      <c r="K241" s="492"/>
      <c r="L241" s="1040" t="str">
        <f>IF($AB$3="ON","↑","")</f>
        <v>↑</v>
      </c>
      <c r="M241" s="492"/>
      <c r="N241" s="492"/>
      <c r="O241" s="492"/>
      <c r="P241" s="492"/>
      <c r="Q241" s="495"/>
      <c r="R241" s="495"/>
      <c r="S241" s="493"/>
      <c r="T241" s="503"/>
      <c r="BR241" s="1019" t="s">
        <v>484</v>
      </c>
      <c r="BS241" s="1019" t="s">
        <v>484</v>
      </c>
      <c r="BT241" s="1019" t="s">
        <v>534</v>
      </c>
      <c r="BU241" s="1019" t="s">
        <v>857</v>
      </c>
    </row>
    <row r="242" spans="2:73" ht="12" x14ac:dyDescent="0.4">
      <c r="C242" s="503"/>
      <c r="D242" s="486"/>
      <c r="E242" s="794" t="s">
        <v>484</v>
      </c>
      <c r="F242" s="793"/>
      <c r="G242" s="491"/>
      <c r="H242" s="492"/>
      <c r="I242" s="492"/>
      <c r="J242" s="492"/>
      <c r="K242" s="492"/>
      <c r="L242" s="1040" t="str">
        <f>IF($AB$3="ON","↑","")</f>
        <v>↑</v>
      </c>
      <c r="M242" s="492"/>
      <c r="N242" s="492"/>
      <c r="O242" s="492"/>
      <c r="P242" s="493"/>
      <c r="Q242" s="794" t="s">
        <v>484</v>
      </c>
      <c r="R242" s="793"/>
      <c r="S242" s="486"/>
      <c r="T242" s="503"/>
      <c r="BR242" s="1019" t="s">
        <v>852</v>
      </c>
      <c r="BS242" s="1019" t="s">
        <v>458</v>
      </c>
      <c r="BT242" s="1019" t="s">
        <v>632</v>
      </c>
      <c r="BU242" s="1019" t="s">
        <v>687</v>
      </c>
    </row>
    <row r="243" spans="2:73" ht="12" x14ac:dyDescent="0.4">
      <c r="B243" s="125">
        <v>5</v>
      </c>
      <c r="C243" s="503"/>
      <c r="D243" s="491"/>
      <c r="E243" s="489"/>
      <c r="F243" s="489"/>
      <c r="G243" s="492"/>
      <c r="H243" s="492"/>
      <c r="I243" s="492"/>
      <c r="J243" s="492"/>
      <c r="K243" s="492"/>
      <c r="L243" s="1040" t="str">
        <f>IF($AB$3="ON","↑","")</f>
        <v>↑</v>
      </c>
      <c r="M243" s="492"/>
      <c r="N243" s="492"/>
      <c r="O243" s="492"/>
      <c r="P243" s="492"/>
      <c r="Q243" s="489"/>
      <c r="R243" s="489"/>
      <c r="S243" s="493"/>
      <c r="T243" s="503"/>
      <c r="BR243" s="1019" t="s">
        <v>853</v>
      </c>
      <c r="BS243" s="1019" t="s">
        <v>436</v>
      </c>
      <c r="BT243" s="1019" t="s">
        <v>858</v>
      </c>
      <c r="BU243" s="1019" t="s">
        <v>859</v>
      </c>
    </row>
    <row r="244" spans="2:73" ht="12" x14ac:dyDescent="0.4">
      <c r="C244" s="503"/>
      <c r="D244" s="491"/>
      <c r="E244" s="492"/>
      <c r="F244" s="492"/>
      <c r="G244" s="492"/>
      <c r="H244" s="492"/>
      <c r="I244" s="492"/>
      <c r="J244" s="492"/>
      <c r="K244" s="795" t="s">
        <v>854</v>
      </c>
      <c r="L244" s="492"/>
      <c r="M244" s="492"/>
      <c r="N244" s="492"/>
      <c r="O244" s="492"/>
      <c r="P244" s="492"/>
      <c r="Q244" s="492"/>
      <c r="R244" s="492"/>
      <c r="S244" s="493"/>
      <c r="T244" s="503"/>
      <c r="BR244" s="1019" t="s">
        <v>854</v>
      </c>
      <c r="BS244" s="1019" t="s">
        <v>450</v>
      </c>
      <c r="BT244" s="1019" t="s">
        <v>539</v>
      </c>
      <c r="BU244" s="1019" t="s">
        <v>843</v>
      </c>
    </row>
    <row r="245" spans="2:73" ht="12" x14ac:dyDescent="0.4">
      <c r="C245" s="503"/>
      <c r="D245" s="491"/>
      <c r="E245" s="492"/>
      <c r="F245" s="492"/>
      <c r="G245" s="492"/>
      <c r="H245" s="492"/>
      <c r="I245" s="492"/>
      <c r="J245" s="492"/>
      <c r="K245" s="492"/>
      <c r="L245" s="1040" t="str">
        <f t="shared" ref="L245:L251" si="11">IF($AB$3="ON","↑","")</f>
        <v>↑</v>
      </c>
      <c r="M245" s="492"/>
      <c r="N245" s="492"/>
      <c r="O245" s="492"/>
      <c r="P245" s="492"/>
      <c r="Q245" s="492"/>
      <c r="R245" s="492"/>
      <c r="S245" s="493"/>
      <c r="T245" s="503"/>
      <c r="BR245" s="1019" t="s">
        <v>733</v>
      </c>
      <c r="BS245" s="1019" t="s">
        <v>491</v>
      </c>
      <c r="BT245" s="1019" t="s">
        <v>539</v>
      </c>
      <c r="BU245" s="1019" t="s">
        <v>860</v>
      </c>
    </row>
    <row r="246" spans="2:73" ht="12" x14ac:dyDescent="0.4">
      <c r="C246" s="503"/>
      <c r="D246" s="491"/>
      <c r="E246" s="492"/>
      <c r="F246" s="492"/>
      <c r="G246" s="492"/>
      <c r="H246" s="492"/>
      <c r="I246" s="492"/>
      <c r="J246" s="492"/>
      <c r="K246" s="492"/>
      <c r="L246" s="1040" t="str">
        <f t="shared" si="11"/>
        <v>↑</v>
      </c>
      <c r="M246" s="492"/>
      <c r="N246" s="492"/>
      <c r="O246" s="492"/>
      <c r="P246" s="492"/>
      <c r="Q246" s="492"/>
      <c r="R246" s="492"/>
      <c r="S246" s="493"/>
      <c r="T246" s="503"/>
      <c r="BR246" s="1019" t="s">
        <v>508</v>
      </c>
      <c r="BS246" s="1019" t="s">
        <v>486</v>
      </c>
      <c r="BT246" s="1019" t="s">
        <v>539</v>
      </c>
      <c r="BU246" s="1019" t="s">
        <v>861</v>
      </c>
    </row>
    <row r="247" spans="2:73" ht="12" x14ac:dyDescent="0.4">
      <c r="C247" s="503"/>
      <c r="D247" s="491"/>
      <c r="E247" s="492"/>
      <c r="F247" s="495"/>
      <c r="G247" s="495"/>
      <c r="H247" s="495"/>
      <c r="I247" s="495"/>
      <c r="J247" s="492"/>
      <c r="K247" s="492"/>
      <c r="L247" s="1040" t="str">
        <f t="shared" si="11"/>
        <v>↑</v>
      </c>
      <c r="M247" s="492"/>
      <c r="N247" s="492"/>
      <c r="O247" s="492"/>
      <c r="P247" s="492"/>
      <c r="Q247" s="492"/>
      <c r="R247" s="492"/>
      <c r="S247" s="493"/>
      <c r="T247" s="503"/>
    </row>
    <row r="248" spans="2:73" ht="12" x14ac:dyDescent="0.4">
      <c r="B248" s="125">
        <v>10</v>
      </c>
      <c r="C248" s="503"/>
      <c r="D248" s="491"/>
      <c r="E248" s="493"/>
      <c r="F248" s="794" t="s">
        <v>484</v>
      </c>
      <c r="G248" s="792"/>
      <c r="H248" s="792"/>
      <c r="I248" s="793"/>
      <c r="J248" s="491"/>
      <c r="K248" s="492"/>
      <c r="L248" s="1040" t="str">
        <f t="shared" si="11"/>
        <v>↑</v>
      </c>
      <c r="M248" s="492"/>
      <c r="N248" s="492"/>
      <c r="O248" s="495"/>
      <c r="P248" s="495"/>
      <c r="Q248" s="495"/>
      <c r="R248" s="492"/>
      <c r="S248" s="493"/>
      <c r="T248" s="503"/>
    </row>
    <row r="249" spans="2:73" ht="12" x14ac:dyDescent="0.4">
      <c r="C249" s="503"/>
      <c r="D249" s="491"/>
      <c r="E249" s="495"/>
      <c r="F249" s="508"/>
      <c r="G249" s="508"/>
      <c r="H249" s="489"/>
      <c r="I249" s="489"/>
      <c r="J249" s="492"/>
      <c r="K249" s="492"/>
      <c r="L249" s="1040" t="str">
        <f t="shared" si="11"/>
        <v>↑</v>
      </c>
      <c r="M249" s="492"/>
      <c r="N249" s="493"/>
      <c r="O249" s="794" t="s">
        <v>484</v>
      </c>
      <c r="P249" s="792"/>
      <c r="Q249" s="793"/>
      <c r="R249" s="491"/>
      <c r="S249" s="493"/>
      <c r="T249" s="503"/>
    </row>
    <row r="250" spans="2:73" ht="12" x14ac:dyDescent="0.4">
      <c r="C250" s="503"/>
      <c r="D250" s="486"/>
      <c r="E250" s="573" t="s">
        <v>852</v>
      </c>
      <c r="F250" s="568"/>
      <c r="G250" s="571"/>
      <c r="H250" s="491"/>
      <c r="I250" s="492"/>
      <c r="J250" s="492"/>
      <c r="K250" s="492"/>
      <c r="L250" s="1040" t="str">
        <f t="shared" si="11"/>
        <v>↑</v>
      </c>
      <c r="M250" s="492"/>
      <c r="N250" s="492"/>
      <c r="O250" s="489"/>
      <c r="P250" s="489"/>
      <c r="Q250" s="489"/>
      <c r="R250" s="492"/>
      <c r="S250" s="493"/>
      <c r="T250" s="503"/>
    </row>
    <row r="251" spans="2:73" ht="12" x14ac:dyDescent="0.4">
      <c r="C251" s="503"/>
      <c r="D251" s="486"/>
      <c r="E251" s="567"/>
      <c r="F251" s="565"/>
      <c r="G251" s="575"/>
      <c r="H251" s="491"/>
      <c r="I251" s="492"/>
      <c r="J251" s="492"/>
      <c r="K251" s="492"/>
      <c r="L251" s="1040" t="str">
        <f t="shared" si="11"/>
        <v>↑</v>
      </c>
      <c r="M251" s="1040" t="str">
        <f>IF($AB$3="ON","→","")</f>
        <v>→</v>
      </c>
      <c r="N251" s="1040" t="str">
        <f>IF($AB$3="ON","→","")</f>
        <v>→</v>
      </c>
      <c r="O251" s="1040" t="str">
        <f>IF($AB$3="ON","→","")</f>
        <v>→</v>
      </c>
      <c r="P251" s="1040" t="str">
        <f>IF($AB$3="ON","→","")</f>
        <v>→</v>
      </c>
      <c r="Q251" s="1040" t="str">
        <f>IF($AB$3="ON","→","")</f>
        <v>→</v>
      </c>
      <c r="R251" s="584" t="s">
        <v>733</v>
      </c>
      <c r="S251" s="493"/>
      <c r="T251" s="503"/>
    </row>
    <row r="252" spans="2:73" x14ac:dyDescent="0.4">
      <c r="C252" s="507"/>
      <c r="D252" s="487"/>
      <c r="E252" s="569"/>
      <c r="F252" s="570"/>
      <c r="G252" s="572"/>
      <c r="H252" s="494"/>
      <c r="I252" s="495"/>
      <c r="J252" s="495"/>
      <c r="K252" s="495"/>
      <c r="L252" s="796" t="s">
        <v>508</v>
      </c>
      <c r="M252" s="495"/>
      <c r="N252" s="495"/>
      <c r="O252" s="495"/>
      <c r="P252" s="495"/>
      <c r="Q252" s="495"/>
      <c r="R252" s="495"/>
      <c r="S252" s="496"/>
      <c r="T252" s="507"/>
    </row>
    <row r="253" spans="2:73" x14ac:dyDescent="0.4">
      <c r="B253" s="125">
        <v>15</v>
      </c>
      <c r="C253" s="506"/>
      <c r="D253" s="499"/>
      <c r="E253" s="169"/>
      <c r="F253" s="169"/>
      <c r="G253" s="169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505"/>
      <c r="T253" s="506"/>
    </row>
    <row r="257" spans="2:73" ht="15.75" x14ac:dyDescent="0.4">
      <c r="B257" s="122" t="s">
        <v>862</v>
      </c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  <c r="AP257" s="121"/>
      <c r="AQ257" s="121"/>
      <c r="AR257" s="121"/>
      <c r="AS257" s="121"/>
      <c r="AT257" s="121"/>
      <c r="AU257" s="121"/>
      <c r="AV257" s="121"/>
      <c r="AW257" s="121"/>
      <c r="AX257" s="121"/>
      <c r="AY257" s="121"/>
      <c r="AZ257" s="121"/>
      <c r="BA257" s="121"/>
      <c r="BB257" s="121"/>
      <c r="BC257" s="121"/>
      <c r="BD257" s="121"/>
      <c r="BE257" s="121"/>
      <c r="BF257" s="121"/>
      <c r="BG257" s="121"/>
      <c r="BH257" s="121"/>
      <c r="BI257" s="121"/>
      <c r="BJ257" s="123" t="s">
        <v>863</v>
      </c>
      <c r="BK257" s="121"/>
      <c r="BL257" s="121"/>
      <c r="BM257" s="121"/>
      <c r="BN257" s="121"/>
      <c r="BO257" s="121"/>
      <c r="BP257" s="121"/>
      <c r="BQ257" s="121"/>
      <c r="BR257" s="121"/>
      <c r="BS257" s="121"/>
      <c r="BT257" s="121"/>
      <c r="BU257" s="121"/>
    </row>
    <row r="258" spans="2:73" ht="12" x14ac:dyDescent="0.4">
      <c r="B258" s="124" t="s">
        <v>864</v>
      </c>
    </row>
    <row r="259" spans="2:73" ht="12" x14ac:dyDescent="0.4">
      <c r="C259" s="125">
        <v>0</v>
      </c>
      <c r="H259" s="125">
        <v>5</v>
      </c>
      <c r="M259" s="125">
        <v>10</v>
      </c>
      <c r="R259" s="125">
        <v>15</v>
      </c>
      <c r="W259" s="125">
        <v>20</v>
      </c>
      <c r="BR259" s="272" t="s">
        <v>310</v>
      </c>
      <c r="BS259" s="272" t="s">
        <v>529</v>
      </c>
      <c r="BT259" s="272" t="s">
        <v>530</v>
      </c>
      <c r="BU259" s="272" t="s">
        <v>531</v>
      </c>
    </row>
    <row r="260" spans="2:73" ht="12" x14ac:dyDescent="0.4">
      <c r="B260" s="125">
        <v>0</v>
      </c>
      <c r="C260" s="360" t="s">
        <v>865</v>
      </c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7"/>
      <c r="BR260" s="1019" t="s">
        <v>865</v>
      </c>
      <c r="BS260" s="1019" t="s">
        <v>425</v>
      </c>
      <c r="BT260" s="1019" t="s">
        <v>870</v>
      </c>
      <c r="BU260" s="1019" t="s">
        <v>753</v>
      </c>
    </row>
    <row r="261" spans="2:73" ht="12" x14ac:dyDescent="0.4">
      <c r="C261" s="354"/>
      <c r="D261" s="349"/>
      <c r="E261" s="362"/>
      <c r="F261" s="362"/>
      <c r="G261" s="349"/>
      <c r="H261" s="349"/>
      <c r="I261" s="349"/>
      <c r="J261" s="349"/>
      <c r="K261" s="349"/>
      <c r="L261" s="349"/>
      <c r="M261" s="349"/>
      <c r="N261" s="349"/>
      <c r="O261" s="349"/>
      <c r="P261" s="349"/>
      <c r="Q261" s="349"/>
      <c r="R261" s="349"/>
      <c r="S261" s="349"/>
      <c r="T261" s="349"/>
      <c r="U261" s="349"/>
      <c r="V261" s="349"/>
      <c r="W261" s="349"/>
      <c r="X261" s="349"/>
      <c r="Y261" s="349"/>
      <c r="Z261" s="358"/>
      <c r="BR261" s="1019" t="s">
        <v>866</v>
      </c>
      <c r="BS261" s="1019" t="s">
        <v>454</v>
      </c>
      <c r="BT261" s="1019" t="s">
        <v>871</v>
      </c>
      <c r="BU261" s="1019" t="s">
        <v>872</v>
      </c>
    </row>
    <row r="262" spans="2:73" ht="12" x14ac:dyDescent="0.4">
      <c r="C262" s="354"/>
      <c r="D262" s="384"/>
      <c r="E262" s="799" t="s">
        <v>867</v>
      </c>
      <c r="F262" s="798"/>
      <c r="G262" s="425"/>
      <c r="H262" s="349"/>
      <c r="I262" s="349"/>
      <c r="J262" s="349"/>
      <c r="K262" s="362"/>
      <c r="L262" s="362"/>
      <c r="M262" s="362"/>
      <c r="N262" s="362"/>
      <c r="O262" s="362"/>
      <c r="P262" s="362"/>
      <c r="Q262" s="362"/>
      <c r="R262" s="362"/>
      <c r="S262" s="349"/>
      <c r="T262" s="349"/>
      <c r="U262" s="349"/>
      <c r="V262" s="349"/>
      <c r="W262" s="349"/>
      <c r="X262" s="349"/>
      <c r="Y262" s="349"/>
      <c r="Z262" s="358"/>
      <c r="BR262" s="1019" t="s">
        <v>867</v>
      </c>
      <c r="BS262" s="1019" t="s">
        <v>482</v>
      </c>
      <c r="BT262" s="1019" t="s">
        <v>534</v>
      </c>
      <c r="BU262" s="1019" t="s">
        <v>630</v>
      </c>
    </row>
    <row r="263" spans="2:73" ht="12" x14ac:dyDescent="0.4">
      <c r="C263" s="354"/>
      <c r="D263" s="349"/>
      <c r="E263" s="348"/>
      <c r="F263" s="348"/>
      <c r="G263" s="349"/>
      <c r="H263" s="349"/>
      <c r="I263" s="349"/>
      <c r="J263" s="384"/>
      <c r="K263" s="797" t="s">
        <v>866</v>
      </c>
      <c r="L263" s="676"/>
      <c r="M263" s="676"/>
      <c r="N263" s="676"/>
      <c r="O263" s="676"/>
      <c r="P263" s="676"/>
      <c r="Q263" s="676"/>
      <c r="R263" s="679"/>
      <c r="S263" s="425"/>
      <c r="T263" s="349"/>
      <c r="U263" s="349"/>
      <c r="V263" s="349"/>
      <c r="W263" s="362"/>
      <c r="X263" s="362"/>
      <c r="Y263" s="349"/>
      <c r="Z263" s="358"/>
      <c r="BR263" s="1019" t="s">
        <v>868</v>
      </c>
      <c r="BS263" s="1019" t="s">
        <v>482</v>
      </c>
      <c r="BT263" s="1019" t="s">
        <v>534</v>
      </c>
      <c r="BU263" s="1019" t="s">
        <v>655</v>
      </c>
    </row>
    <row r="264" spans="2:73" ht="12" x14ac:dyDescent="0.4">
      <c r="C264" s="354"/>
      <c r="D264" s="349"/>
      <c r="E264" s="349"/>
      <c r="F264" s="349"/>
      <c r="G264" s="349"/>
      <c r="H264" s="349"/>
      <c r="I264" s="349"/>
      <c r="J264" s="384"/>
      <c r="K264" s="675"/>
      <c r="L264" s="674"/>
      <c r="M264" s="674"/>
      <c r="N264" s="674"/>
      <c r="O264" s="674"/>
      <c r="P264" s="674"/>
      <c r="Q264" s="674"/>
      <c r="R264" s="680"/>
      <c r="S264" s="425"/>
      <c r="T264" s="349"/>
      <c r="U264" s="349"/>
      <c r="V264" s="384"/>
      <c r="W264" s="799" t="s">
        <v>868</v>
      </c>
      <c r="X264" s="798"/>
      <c r="Y264" s="425"/>
      <c r="Z264" s="358"/>
      <c r="BR264" s="1019" t="s">
        <v>869</v>
      </c>
      <c r="BS264" s="1019" t="s">
        <v>477</v>
      </c>
      <c r="BT264" s="1019" t="s">
        <v>539</v>
      </c>
      <c r="BU264" s="1019" t="s">
        <v>873</v>
      </c>
    </row>
    <row r="265" spans="2:73" ht="12" x14ac:dyDescent="0.4">
      <c r="B265" s="125">
        <v>5</v>
      </c>
      <c r="C265" s="354"/>
      <c r="D265" s="349"/>
      <c r="E265" s="349"/>
      <c r="F265" s="349"/>
      <c r="G265" s="349"/>
      <c r="H265" s="349"/>
      <c r="I265" s="349"/>
      <c r="J265" s="384"/>
      <c r="K265" s="675"/>
      <c r="L265" s="674"/>
      <c r="M265" s="674"/>
      <c r="N265" s="674"/>
      <c r="O265" s="674"/>
      <c r="P265" s="674"/>
      <c r="Q265" s="674"/>
      <c r="R265" s="680"/>
      <c r="S265" s="425"/>
      <c r="T265" s="349"/>
      <c r="U265" s="349"/>
      <c r="V265" s="349"/>
      <c r="W265" s="348"/>
      <c r="X265" s="348"/>
      <c r="Y265" s="349"/>
      <c r="Z265" s="358"/>
      <c r="BR265" s="1019" t="s">
        <v>869</v>
      </c>
      <c r="BS265" s="1019" t="s">
        <v>477</v>
      </c>
      <c r="BT265" s="1019" t="s">
        <v>539</v>
      </c>
      <c r="BU265" s="1019" t="s">
        <v>874</v>
      </c>
    </row>
    <row r="266" spans="2:73" ht="12" x14ac:dyDescent="0.4">
      <c r="C266" s="354"/>
      <c r="D266" s="349"/>
      <c r="E266" s="349"/>
      <c r="F266" s="349"/>
      <c r="G266" s="349"/>
      <c r="H266" s="349"/>
      <c r="I266" s="349"/>
      <c r="J266" s="384"/>
      <c r="K266" s="675"/>
      <c r="L266" s="674"/>
      <c r="M266" s="674"/>
      <c r="N266" s="674"/>
      <c r="O266" s="674"/>
      <c r="P266" s="674"/>
      <c r="Q266" s="674"/>
      <c r="R266" s="680"/>
      <c r="S266" s="425"/>
      <c r="T266" s="349"/>
      <c r="U266" s="349"/>
      <c r="V266" s="349"/>
      <c r="W266" s="349"/>
      <c r="X266" s="349"/>
      <c r="Y266" s="349"/>
      <c r="Z266" s="358"/>
      <c r="BR266" s="1019" t="s">
        <v>650</v>
      </c>
      <c r="BS266" s="1019" t="s">
        <v>435</v>
      </c>
      <c r="BT266" s="1019" t="s">
        <v>875</v>
      </c>
      <c r="BU266" s="1019" t="s">
        <v>876</v>
      </c>
    </row>
    <row r="267" spans="2:73" ht="12" x14ac:dyDescent="0.4">
      <c r="C267" s="354"/>
      <c r="D267" s="349"/>
      <c r="E267" s="349"/>
      <c r="F267" s="349"/>
      <c r="G267" s="349"/>
      <c r="H267" s="349"/>
      <c r="I267" s="349"/>
      <c r="J267" s="384"/>
      <c r="K267" s="675"/>
      <c r="L267" s="674"/>
      <c r="M267" s="674"/>
      <c r="N267" s="674"/>
      <c r="O267" s="674"/>
      <c r="P267" s="674"/>
      <c r="Q267" s="674"/>
      <c r="R267" s="680"/>
      <c r="S267" s="425"/>
      <c r="T267" s="349"/>
      <c r="U267" s="349"/>
      <c r="V267" s="349"/>
      <c r="W267" s="349"/>
      <c r="X267" s="349"/>
      <c r="Y267" s="349"/>
      <c r="Z267" s="358"/>
      <c r="BR267" s="1019" t="s">
        <v>719</v>
      </c>
      <c r="BS267" s="1019" t="s">
        <v>495</v>
      </c>
      <c r="BT267" s="1019" t="s">
        <v>539</v>
      </c>
      <c r="BU267" s="1019" t="s">
        <v>877</v>
      </c>
    </row>
    <row r="268" spans="2:73" ht="12" x14ac:dyDescent="0.4">
      <c r="C268" s="354"/>
      <c r="D268" s="349"/>
      <c r="E268" s="349"/>
      <c r="F268" s="349"/>
      <c r="G268" s="349"/>
      <c r="H268" s="349"/>
      <c r="I268" s="349"/>
      <c r="J268" s="384"/>
      <c r="K268" s="675"/>
      <c r="L268" s="674"/>
      <c r="M268" s="674"/>
      <c r="N268" s="674"/>
      <c r="O268" s="674"/>
      <c r="P268" s="674"/>
      <c r="Q268" s="674"/>
      <c r="R268" s="680"/>
      <c r="S268" s="425"/>
      <c r="T268" s="349"/>
      <c r="U268" s="349"/>
      <c r="V268" s="349"/>
      <c r="W268" s="349"/>
      <c r="X268" s="349"/>
      <c r="Y268" s="349"/>
      <c r="Z268" s="358"/>
      <c r="BR268" s="1019" t="s">
        <v>508</v>
      </c>
      <c r="BS268" s="1019" t="s">
        <v>486</v>
      </c>
      <c r="BT268" s="1019" t="s">
        <v>539</v>
      </c>
      <c r="BU268" s="1019" t="s">
        <v>878</v>
      </c>
    </row>
    <row r="269" spans="2:73" x14ac:dyDescent="0.4">
      <c r="C269" s="354"/>
      <c r="D269" s="349"/>
      <c r="E269" s="349"/>
      <c r="F269" s="349"/>
      <c r="G269" s="349"/>
      <c r="H269" s="349"/>
      <c r="I269" s="349"/>
      <c r="J269" s="384"/>
      <c r="K269" s="675"/>
      <c r="L269" s="674"/>
      <c r="M269" s="674"/>
      <c r="N269" s="674"/>
      <c r="O269" s="674"/>
      <c r="P269" s="674"/>
      <c r="Q269" s="674"/>
      <c r="R269" s="680"/>
      <c r="S269" s="425"/>
      <c r="T269" s="349"/>
      <c r="U269" s="349"/>
      <c r="V269" s="349"/>
      <c r="W269" s="349"/>
      <c r="X269" s="349"/>
      <c r="Y269" s="349"/>
      <c r="Z269" s="358"/>
    </row>
    <row r="270" spans="2:73" x14ac:dyDescent="0.4">
      <c r="B270" s="125">
        <v>10</v>
      </c>
      <c r="C270" s="354"/>
      <c r="D270" s="349"/>
      <c r="E270" s="349"/>
      <c r="F270" s="349"/>
      <c r="G270" s="349"/>
      <c r="H270" s="349"/>
      <c r="I270" s="349"/>
      <c r="J270" s="384"/>
      <c r="K270" s="677"/>
      <c r="L270" s="678"/>
      <c r="M270" s="678"/>
      <c r="N270" s="678"/>
      <c r="O270" s="678"/>
      <c r="P270" s="678"/>
      <c r="Q270" s="678"/>
      <c r="R270" s="681"/>
      <c r="S270" s="425"/>
      <c r="T270" s="349"/>
      <c r="U270" s="349"/>
      <c r="V270" s="349"/>
      <c r="W270" s="349"/>
      <c r="X270" s="349"/>
      <c r="Y270" s="349"/>
      <c r="Z270" s="358"/>
    </row>
    <row r="271" spans="2:73" x14ac:dyDescent="0.4">
      <c r="C271" s="354"/>
      <c r="D271" s="349"/>
      <c r="E271" s="349"/>
      <c r="F271" s="349"/>
      <c r="G271" s="349"/>
      <c r="H271" s="349"/>
      <c r="I271" s="349"/>
      <c r="J271" s="349"/>
      <c r="K271" s="348"/>
      <c r="L271" s="348"/>
      <c r="M271" s="348"/>
      <c r="N271" s="348"/>
      <c r="O271" s="348"/>
      <c r="P271" s="348"/>
      <c r="Q271" s="348"/>
      <c r="R271" s="348"/>
      <c r="S271" s="349"/>
      <c r="T271" s="349"/>
      <c r="U271" s="349"/>
      <c r="V271" s="349"/>
      <c r="W271" s="349"/>
      <c r="X271" s="349"/>
      <c r="Y271" s="349"/>
      <c r="Z271" s="358"/>
    </row>
    <row r="272" spans="2:73" x14ac:dyDescent="0.4">
      <c r="C272" s="354"/>
      <c r="D272" s="349"/>
      <c r="E272" s="349"/>
      <c r="F272" s="349"/>
      <c r="G272" s="632" t="s">
        <v>869</v>
      </c>
      <c r="H272" s="349"/>
      <c r="I272" s="349"/>
      <c r="J272" s="349"/>
      <c r="K272" s="349"/>
      <c r="L272" s="349"/>
      <c r="M272" s="349"/>
      <c r="N272" s="349"/>
      <c r="O272" s="349"/>
      <c r="P272" s="349"/>
      <c r="Q272" s="349"/>
      <c r="R272" s="349"/>
      <c r="S272" s="349"/>
      <c r="T272" s="349"/>
      <c r="U272" s="349"/>
      <c r="V272" s="632" t="s">
        <v>869</v>
      </c>
      <c r="W272" s="349"/>
      <c r="X272" s="349"/>
      <c r="Y272" s="349"/>
      <c r="Z272" s="358"/>
    </row>
    <row r="273" spans="2:73" x14ac:dyDescent="0.4">
      <c r="C273" s="354"/>
      <c r="D273" s="349"/>
      <c r="E273" s="349"/>
      <c r="F273" s="349"/>
      <c r="G273" s="349"/>
      <c r="H273" s="349"/>
      <c r="I273" s="349"/>
      <c r="J273" s="349"/>
      <c r="K273" s="349"/>
      <c r="L273" s="349"/>
      <c r="M273" s="349"/>
      <c r="N273" s="349"/>
      <c r="O273" s="349"/>
      <c r="P273" s="349"/>
      <c r="Q273" s="349"/>
      <c r="R273" s="349"/>
      <c r="S273" s="349"/>
      <c r="T273" s="349"/>
      <c r="U273" s="349"/>
      <c r="V273" s="349"/>
      <c r="W273" s="349"/>
      <c r="X273" s="349"/>
      <c r="Y273" s="349"/>
      <c r="Z273" s="358"/>
    </row>
    <row r="274" spans="2:73" x14ac:dyDescent="0.4">
      <c r="C274" s="361"/>
      <c r="D274" s="362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362"/>
      <c r="P274" s="362"/>
      <c r="Q274" s="362"/>
      <c r="R274" s="362"/>
      <c r="S274" s="362"/>
      <c r="T274" s="362"/>
      <c r="U274" s="362"/>
      <c r="V274" s="362"/>
      <c r="W274" s="362"/>
      <c r="X274" s="362"/>
      <c r="Y274" s="362"/>
      <c r="Z274" s="363"/>
    </row>
    <row r="275" spans="2:73" x14ac:dyDescent="0.4">
      <c r="B275" s="125">
        <v>15</v>
      </c>
      <c r="C275" s="444" t="s">
        <v>650</v>
      </c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3"/>
    </row>
    <row r="276" spans="2:73" x14ac:dyDescent="0.4">
      <c r="C276" s="615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26"/>
    </row>
    <row r="277" spans="2:73" x14ac:dyDescent="0.4">
      <c r="C277" s="616"/>
      <c r="D277" s="610"/>
      <c r="E277" s="610"/>
      <c r="F277" s="610"/>
      <c r="G277" s="610"/>
      <c r="H277" s="610"/>
      <c r="I277" s="610"/>
      <c r="J277" s="610"/>
      <c r="K277" s="610"/>
      <c r="L277" s="610"/>
      <c r="M277" s="610"/>
      <c r="N277" s="610"/>
      <c r="O277" s="610"/>
      <c r="P277" s="610"/>
      <c r="Q277" s="610"/>
      <c r="R277" s="610"/>
      <c r="S277" s="610"/>
      <c r="T277" s="610"/>
      <c r="U277" s="610"/>
      <c r="V277" s="610"/>
      <c r="W277" s="610"/>
      <c r="X277" s="610"/>
      <c r="Y277" s="610"/>
      <c r="Z277" s="624"/>
    </row>
    <row r="278" spans="2:73" x14ac:dyDescent="0.4">
      <c r="C278" s="616"/>
      <c r="D278" s="610"/>
      <c r="E278" s="610"/>
      <c r="F278" s="610"/>
      <c r="G278" s="610"/>
      <c r="H278" s="610"/>
      <c r="I278" s="610"/>
      <c r="J278" s="610"/>
      <c r="K278" s="610"/>
      <c r="L278" s="610"/>
      <c r="M278" s="610"/>
      <c r="N278" s="610"/>
      <c r="O278" s="268" t="s">
        <v>719</v>
      </c>
      <c r="P278" s="610"/>
      <c r="Q278" s="610"/>
      <c r="R278" s="610"/>
      <c r="S278" s="610"/>
      <c r="T278" s="610"/>
      <c r="U278" s="610"/>
      <c r="V278" s="610"/>
      <c r="W278" s="610"/>
      <c r="X278" s="610"/>
      <c r="Y278" s="610"/>
      <c r="Z278" s="624"/>
    </row>
    <row r="279" spans="2:73" x14ac:dyDescent="0.4">
      <c r="C279" s="616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24"/>
    </row>
    <row r="280" spans="2:73" ht="12" x14ac:dyDescent="0.4">
      <c r="B280" s="125">
        <v>20</v>
      </c>
      <c r="C280" s="616"/>
      <c r="D280" s="193" t="s">
        <v>508</v>
      </c>
      <c r="E280" s="1052" t="str">
        <f t="shared" ref="E280:Y280" si="12">IF($AB$3="ON","→","")</f>
        <v>→</v>
      </c>
      <c r="F280" s="1052" t="str">
        <f t="shared" si="12"/>
        <v>→</v>
      </c>
      <c r="G280" s="1052" t="str">
        <f t="shared" si="12"/>
        <v>→</v>
      </c>
      <c r="H280" s="1052" t="str">
        <f t="shared" si="12"/>
        <v>→</v>
      </c>
      <c r="I280" s="1052" t="str">
        <f t="shared" si="12"/>
        <v>→</v>
      </c>
      <c r="J280" s="1052" t="str">
        <f t="shared" si="12"/>
        <v>→</v>
      </c>
      <c r="K280" s="1052" t="str">
        <f t="shared" si="12"/>
        <v>→</v>
      </c>
      <c r="L280" s="1052" t="str">
        <f t="shared" si="12"/>
        <v>→</v>
      </c>
      <c r="M280" s="1052" t="str">
        <f t="shared" si="12"/>
        <v>→</v>
      </c>
      <c r="N280" s="1052" t="str">
        <f t="shared" si="12"/>
        <v>→</v>
      </c>
      <c r="O280" s="1052" t="str">
        <f t="shared" si="12"/>
        <v>→</v>
      </c>
      <c r="P280" s="1052" t="str">
        <f t="shared" si="12"/>
        <v>→</v>
      </c>
      <c r="Q280" s="1052" t="str">
        <f t="shared" si="12"/>
        <v>→</v>
      </c>
      <c r="R280" s="1052" t="str">
        <f t="shared" si="12"/>
        <v>→</v>
      </c>
      <c r="S280" s="1052" t="str">
        <f t="shared" si="12"/>
        <v>→</v>
      </c>
      <c r="T280" s="1052" t="str">
        <f t="shared" si="12"/>
        <v>→</v>
      </c>
      <c r="U280" s="1052" t="str">
        <f t="shared" si="12"/>
        <v>→</v>
      </c>
      <c r="V280" s="1052" t="str">
        <f t="shared" si="12"/>
        <v>→</v>
      </c>
      <c r="W280" s="1052" t="str">
        <f t="shared" si="12"/>
        <v>→</v>
      </c>
      <c r="X280" s="1052" t="str">
        <f t="shared" si="12"/>
        <v>→</v>
      </c>
      <c r="Y280" s="1052" t="str">
        <f t="shared" si="12"/>
        <v>→</v>
      </c>
      <c r="Z280" s="624"/>
    </row>
    <row r="281" spans="2:73" ht="11.25" thickBot="1" x14ac:dyDescent="0.45">
      <c r="C281" s="620"/>
      <c r="D281" s="621"/>
      <c r="E281" s="621"/>
      <c r="F281" s="621"/>
      <c r="G281" s="621"/>
      <c r="H281" s="621"/>
      <c r="I281" s="621"/>
      <c r="J281" s="621"/>
      <c r="K281" s="621"/>
      <c r="L281" s="621"/>
      <c r="M281" s="621"/>
      <c r="N281" s="621"/>
      <c r="O281" s="621"/>
      <c r="P281" s="621"/>
      <c r="Q281" s="621"/>
      <c r="R281" s="621"/>
      <c r="S281" s="621"/>
      <c r="T281" s="621"/>
      <c r="U281" s="621"/>
      <c r="V281" s="621"/>
      <c r="W281" s="621"/>
      <c r="X281" s="621"/>
      <c r="Y281" s="621"/>
      <c r="Z281" s="625"/>
    </row>
    <row r="285" spans="2:73" ht="15.75" x14ac:dyDescent="0.4">
      <c r="B285" s="122" t="s">
        <v>879</v>
      </c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3" t="s">
        <v>880</v>
      </c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</row>
    <row r="287" spans="2:73" ht="12.75" thickBot="1" x14ac:dyDescent="0.45">
      <c r="C287" s="125">
        <v>0</v>
      </c>
      <c r="H287" s="125">
        <v>5</v>
      </c>
      <c r="M287" s="125">
        <v>10</v>
      </c>
      <c r="R287" s="125">
        <v>15</v>
      </c>
      <c r="W287" s="125">
        <v>20</v>
      </c>
      <c r="AB287" s="125">
        <v>25</v>
      </c>
      <c r="AG287" s="125">
        <v>30</v>
      </c>
      <c r="BR287" s="272" t="s">
        <v>310</v>
      </c>
      <c r="BS287" s="272" t="s">
        <v>529</v>
      </c>
      <c r="BT287" s="272" t="s">
        <v>530</v>
      </c>
      <c r="BU287" s="272" t="s">
        <v>531</v>
      </c>
    </row>
    <row r="288" spans="2:73" ht="12" x14ac:dyDescent="0.4">
      <c r="B288" s="125">
        <v>0</v>
      </c>
      <c r="C288" s="773" t="s">
        <v>456</v>
      </c>
      <c r="D288" s="771"/>
      <c r="E288" s="771"/>
      <c r="F288" s="771"/>
      <c r="G288" s="771"/>
      <c r="H288" s="771"/>
      <c r="I288" s="771"/>
      <c r="J288" s="771"/>
      <c r="K288" s="771"/>
      <c r="L288" s="771"/>
      <c r="M288" s="771"/>
      <c r="N288" s="772"/>
      <c r="O288" s="768"/>
      <c r="P288" s="618"/>
      <c r="Q288" s="800"/>
      <c r="R288" s="800"/>
      <c r="S288" s="800"/>
      <c r="T288" s="800"/>
      <c r="U288" s="800"/>
      <c r="V288" s="800"/>
      <c r="W288" s="800"/>
      <c r="X288" s="800"/>
      <c r="Y288" s="800"/>
      <c r="Z288" s="800"/>
      <c r="AA288" s="800"/>
      <c r="AB288" s="805"/>
      <c r="AC288" s="811" t="s">
        <v>882</v>
      </c>
      <c r="AD288" s="808"/>
      <c r="AE288" s="808"/>
      <c r="AF288" s="808"/>
      <c r="AG288" s="808"/>
      <c r="AH288" s="808"/>
      <c r="AI288" s="808"/>
      <c r="AJ288" s="809"/>
      <c r="BR288" s="1019" t="s">
        <v>456</v>
      </c>
      <c r="BS288" s="1019" t="s">
        <v>456</v>
      </c>
      <c r="BT288" s="1019" t="s">
        <v>886</v>
      </c>
      <c r="BU288" s="1019" t="s">
        <v>753</v>
      </c>
    </row>
    <row r="289" spans="2:73" ht="12" x14ac:dyDescent="0.4">
      <c r="C289" s="615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10"/>
      <c r="P289" s="611"/>
      <c r="Q289" s="803" t="s">
        <v>881</v>
      </c>
      <c r="R289" s="802"/>
      <c r="S289" s="802"/>
      <c r="T289" s="802"/>
      <c r="U289" s="802"/>
      <c r="V289" s="802"/>
      <c r="W289" s="802"/>
      <c r="X289" s="802"/>
      <c r="Y289" s="802"/>
      <c r="Z289" s="802"/>
      <c r="AA289" s="802"/>
      <c r="AB289" s="806"/>
      <c r="AC289" s="807"/>
      <c r="AD289" s="804"/>
      <c r="AE289" s="804"/>
      <c r="AF289" s="804"/>
      <c r="AG289" s="804"/>
      <c r="AH289" s="804"/>
      <c r="AI289" s="804"/>
      <c r="AJ289" s="810"/>
      <c r="BR289" s="1019" t="s">
        <v>881</v>
      </c>
      <c r="BS289" s="1019" t="s">
        <v>449</v>
      </c>
      <c r="BT289" s="1019" t="s">
        <v>886</v>
      </c>
      <c r="BU289" s="1019" t="s">
        <v>535</v>
      </c>
    </row>
    <row r="290" spans="2:73" ht="12" x14ac:dyDescent="0.4">
      <c r="C290" s="616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8"/>
      <c r="AC290" s="807"/>
      <c r="AD290" s="804"/>
      <c r="AE290" s="804"/>
      <c r="AF290" s="804"/>
      <c r="AG290" s="804"/>
      <c r="AH290" s="804"/>
      <c r="AI290" s="804"/>
      <c r="AJ290" s="810"/>
      <c r="BR290" s="1019" t="s">
        <v>882</v>
      </c>
      <c r="BS290" s="1019" t="s">
        <v>453</v>
      </c>
      <c r="BT290" s="1019" t="s">
        <v>887</v>
      </c>
      <c r="BU290" s="1019" t="s">
        <v>888</v>
      </c>
    </row>
    <row r="291" spans="2:73" ht="12" x14ac:dyDescent="0.4">
      <c r="C291" s="616"/>
      <c r="D291" s="610"/>
      <c r="E291" s="610"/>
      <c r="F291" s="610"/>
      <c r="G291" s="610"/>
      <c r="H291" s="610"/>
      <c r="I291" s="610"/>
      <c r="J291" s="610"/>
      <c r="K291" s="610"/>
      <c r="L291" s="610"/>
      <c r="M291" s="610"/>
      <c r="N291" s="610"/>
      <c r="O291" s="610"/>
      <c r="P291" s="610"/>
      <c r="Q291" s="610"/>
      <c r="R291" s="610"/>
      <c r="S291" s="610"/>
      <c r="T291" s="610"/>
      <c r="U291" s="610"/>
      <c r="V291" s="610"/>
      <c r="W291" s="610"/>
      <c r="X291" s="610"/>
      <c r="Y291" s="610"/>
      <c r="Z291" s="610"/>
      <c r="AA291" s="610"/>
      <c r="AB291" s="611"/>
      <c r="AC291" s="807"/>
      <c r="AD291" s="804"/>
      <c r="AE291" s="804"/>
      <c r="AF291" s="804"/>
      <c r="AG291" s="804"/>
      <c r="AH291" s="804"/>
      <c r="AI291" s="804"/>
      <c r="AJ291" s="810"/>
      <c r="BR291" s="1019" t="s">
        <v>650</v>
      </c>
      <c r="BS291" s="1019" t="s">
        <v>435</v>
      </c>
      <c r="BT291" s="1019" t="s">
        <v>889</v>
      </c>
      <c r="BU291" s="1019" t="s">
        <v>890</v>
      </c>
    </row>
    <row r="292" spans="2:73" ht="12" x14ac:dyDescent="0.4">
      <c r="C292" s="617"/>
      <c r="D292" s="613"/>
      <c r="E292" s="613"/>
      <c r="F292" s="613"/>
      <c r="G292" s="613"/>
      <c r="H292" s="613"/>
      <c r="I292" s="613"/>
      <c r="J292" s="613"/>
      <c r="K292" s="613"/>
      <c r="L292" s="613"/>
      <c r="M292" s="613"/>
      <c r="N292" s="613"/>
      <c r="O292" s="613"/>
      <c r="P292" s="613"/>
      <c r="Q292" s="613"/>
      <c r="R292" s="613"/>
      <c r="S292" s="613"/>
      <c r="T292" s="613"/>
      <c r="U292" s="613"/>
      <c r="V292" s="613"/>
      <c r="W292" s="613"/>
      <c r="X292" s="613"/>
      <c r="Y292" s="613"/>
      <c r="Z292" s="613"/>
      <c r="AA292" s="613"/>
      <c r="AB292" s="614"/>
      <c r="AC292" s="807"/>
      <c r="AD292" s="804"/>
      <c r="AE292" s="804"/>
      <c r="AF292" s="804"/>
      <c r="AG292" s="804"/>
      <c r="AH292" s="804"/>
      <c r="AI292" s="804"/>
      <c r="AJ292" s="810"/>
      <c r="BR292" s="1019" t="s">
        <v>883</v>
      </c>
      <c r="BS292" s="1019" t="s">
        <v>406</v>
      </c>
      <c r="BT292" s="1019" t="s">
        <v>891</v>
      </c>
      <c r="BU292" s="1019" t="s">
        <v>892</v>
      </c>
    </row>
    <row r="293" spans="2:73" ht="12" x14ac:dyDescent="0.4">
      <c r="B293" s="125">
        <v>5</v>
      </c>
      <c r="C293" s="812" t="s">
        <v>650</v>
      </c>
      <c r="D293" s="813"/>
      <c r="E293" s="813"/>
      <c r="F293" s="813"/>
      <c r="G293" s="813"/>
      <c r="H293" s="813"/>
      <c r="I293" s="813"/>
      <c r="J293" s="813"/>
      <c r="K293" s="813"/>
      <c r="L293" s="813"/>
      <c r="M293" s="813"/>
      <c r="N293" s="813"/>
      <c r="O293" s="813"/>
      <c r="P293" s="813"/>
      <c r="Q293" s="813"/>
      <c r="R293" s="813"/>
      <c r="S293" s="813"/>
      <c r="T293" s="813"/>
      <c r="U293" s="813"/>
      <c r="V293" s="813"/>
      <c r="W293" s="813"/>
      <c r="X293" s="813"/>
      <c r="Y293" s="813"/>
      <c r="Z293" s="813"/>
      <c r="AA293" s="813"/>
      <c r="AB293" s="814"/>
      <c r="AC293" s="815"/>
      <c r="AD293" s="816"/>
      <c r="AE293" s="816"/>
      <c r="AF293" s="816"/>
      <c r="AG293" s="816"/>
      <c r="AH293" s="816"/>
      <c r="AI293" s="816"/>
      <c r="AJ293" s="817"/>
      <c r="BR293" s="1019" t="s">
        <v>650</v>
      </c>
      <c r="BS293" s="1019" t="s">
        <v>435</v>
      </c>
      <c r="BT293" s="1019" t="s">
        <v>889</v>
      </c>
      <c r="BU293" s="1019" t="s">
        <v>893</v>
      </c>
    </row>
    <row r="294" spans="2:73" ht="12" x14ac:dyDescent="0.4">
      <c r="C294" s="436" t="s">
        <v>883</v>
      </c>
      <c r="D294" s="431"/>
      <c r="E294" s="431"/>
      <c r="F294" s="431"/>
      <c r="G294" s="431"/>
      <c r="H294" s="431"/>
      <c r="I294" s="431"/>
      <c r="J294" s="431"/>
      <c r="K294" s="431"/>
      <c r="L294" s="431"/>
      <c r="M294" s="431"/>
      <c r="N294" s="431"/>
      <c r="O294" s="431"/>
      <c r="P294" s="431"/>
      <c r="Q294" s="431"/>
      <c r="R294" s="431"/>
      <c r="S294" s="431"/>
      <c r="T294" s="431"/>
      <c r="U294" s="431"/>
      <c r="V294" s="431"/>
      <c r="W294" s="431"/>
      <c r="X294" s="431"/>
      <c r="Y294" s="431"/>
      <c r="Z294" s="431"/>
      <c r="AA294" s="431"/>
      <c r="AB294" s="431"/>
      <c r="AC294" s="431"/>
      <c r="AD294" s="431"/>
      <c r="AE294" s="431"/>
      <c r="AF294" s="431"/>
      <c r="AG294" s="431"/>
      <c r="AH294" s="431"/>
      <c r="AI294" s="431"/>
      <c r="AJ294" s="432"/>
      <c r="BR294" s="1019" t="s">
        <v>884</v>
      </c>
      <c r="BS294" s="1019" t="s">
        <v>452</v>
      </c>
      <c r="BT294" s="1019" t="s">
        <v>588</v>
      </c>
      <c r="BU294" s="1019" t="s">
        <v>894</v>
      </c>
    </row>
    <row r="295" spans="2:73" ht="12" x14ac:dyDescent="0.4">
      <c r="C295" s="826" t="s">
        <v>508</v>
      </c>
      <c r="D295" s="999" t="str">
        <f t="shared" ref="D295:J295" si="13">IF($AB$3="ON","→","")</f>
        <v>→</v>
      </c>
      <c r="E295" s="999" t="str">
        <f t="shared" si="13"/>
        <v>→</v>
      </c>
      <c r="F295" s="999" t="str">
        <f t="shared" si="13"/>
        <v>→</v>
      </c>
      <c r="G295" s="999" t="str">
        <f t="shared" si="13"/>
        <v>→</v>
      </c>
      <c r="H295" s="999" t="str">
        <f t="shared" si="13"/>
        <v>→</v>
      </c>
      <c r="I295" s="999" t="str">
        <f t="shared" si="13"/>
        <v>→</v>
      </c>
      <c r="J295" s="999" t="str">
        <f t="shared" si="13"/>
        <v>→</v>
      </c>
      <c r="K295" s="195" t="s">
        <v>96</v>
      </c>
      <c r="L295" s="999" t="str">
        <f t="shared" ref="L295:AE295" si="14">IF($AB$3="ON","→","")</f>
        <v>→</v>
      </c>
      <c r="M295" s="999" t="str">
        <f t="shared" si="14"/>
        <v>→</v>
      </c>
      <c r="N295" s="999" t="str">
        <f t="shared" si="14"/>
        <v>→</v>
      </c>
      <c r="O295" s="999" t="str">
        <f t="shared" si="14"/>
        <v>→</v>
      </c>
      <c r="P295" s="999" t="str">
        <f t="shared" si="14"/>
        <v>→</v>
      </c>
      <c r="Q295" s="999" t="str">
        <f t="shared" si="14"/>
        <v>→</v>
      </c>
      <c r="R295" s="999" t="str">
        <f t="shared" si="14"/>
        <v>→</v>
      </c>
      <c r="S295" s="999" t="str">
        <f t="shared" si="14"/>
        <v>→</v>
      </c>
      <c r="T295" s="999" t="str">
        <f t="shared" si="14"/>
        <v>→</v>
      </c>
      <c r="U295" s="999" t="str">
        <f t="shared" si="14"/>
        <v>→</v>
      </c>
      <c r="V295" s="999" t="str">
        <f t="shared" si="14"/>
        <v>→</v>
      </c>
      <c r="W295" s="999" t="str">
        <f t="shared" si="14"/>
        <v>→</v>
      </c>
      <c r="X295" s="999" t="str">
        <f t="shared" si="14"/>
        <v>→</v>
      </c>
      <c r="Y295" s="999" t="str">
        <f t="shared" si="14"/>
        <v>→</v>
      </c>
      <c r="Z295" s="999" t="str">
        <f t="shared" si="14"/>
        <v>→</v>
      </c>
      <c r="AA295" s="999" t="str">
        <f t="shared" si="14"/>
        <v>→</v>
      </c>
      <c r="AB295" s="999" t="str">
        <f t="shared" si="14"/>
        <v>→</v>
      </c>
      <c r="AC295" s="999" t="str">
        <f t="shared" si="14"/>
        <v>→</v>
      </c>
      <c r="AD295" s="999" t="str">
        <f t="shared" si="14"/>
        <v>→</v>
      </c>
      <c r="AE295" s="999" t="str">
        <f t="shared" si="14"/>
        <v>→</v>
      </c>
      <c r="AF295" s="999" t="str">
        <f>IF($AB$3="ON","↓","")</f>
        <v>↓</v>
      </c>
      <c r="AG295" s="130"/>
      <c r="AH295" s="130"/>
      <c r="AI295" s="130"/>
      <c r="AJ295" s="428"/>
      <c r="BR295" s="1019" t="s">
        <v>884</v>
      </c>
      <c r="BS295" s="1019" t="s">
        <v>452</v>
      </c>
      <c r="BT295" s="1019" t="s">
        <v>588</v>
      </c>
      <c r="BU295" s="1019" t="s">
        <v>895</v>
      </c>
    </row>
    <row r="296" spans="2:73" ht="12" x14ac:dyDescent="0.4">
      <c r="C296" s="447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434"/>
      <c r="AD296" s="434"/>
      <c r="AE296" s="133"/>
      <c r="AF296" s="1031" t="str">
        <f>IF($AB$3="ON","↓","")</f>
        <v>↓</v>
      </c>
      <c r="AG296" s="133"/>
      <c r="AH296" s="133"/>
      <c r="AI296" s="434"/>
      <c r="AJ296" s="435"/>
      <c r="BR296" s="1019" t="s">
        <v>884</v>
      </c>
      <c r="BS296" s="1019" t="s">
        <v>452</v>
      </c>
      <c r="BT296" s="1019" t="s">
        <v>588</v>
      </c>
      <c r="BU296" s="1019" t="s">
        <v>636</v>
      </c>
    </row>
    <row r="297" spans="2:73" ht="12" x14ac:dyDescent="0.4">
      <c r="C297" s="444" t="s">
        <v>650</v>
      </c>
      <c r="D297" s="442"/>
      <c r="E297" s="813"/>
      <c r="F297" s="813"/>
      <c r="G297" s="813"/>
      <c r="H297" s="813"/>
      <c r="I297" s="813"/>
      <c r="J297" s="813"/>
      <c r="K297" s="442"/>
      <c r="L297" s="442"/>
      <c r="M297" s="813"/>
      <c r="N297" s="813"/>
      <c r="O297" s="813"/>
      <c r="P297" s="813"/>
      <c r="Q297" s="813"/>
      <c r="R297" s="813"/>
      <c r="S297" s="442"/>
      <c r="T297" s="442"/>
      <c r="U297" s="813"/>
      <c r="V297" s="813"/>
      <c r="W297" s="813"/>
      <c r="X297" s="813"/>
      <c r="Y297" s="813"/>
      <c r="Z297" s="813"/>
      <c r="AA297" s="442"/>
      <c r="AB297" s="443"/>
      <c r="AC297" s="606"/>
      <c r="AD297" s="608"/>
      <c r="AE297" s="360" t="s">
        <v>885</v>
      </c>
      <c r="AF297" s="350"/>
      <c r="AG297" s="350"/>
      <c r="AH297" s="357"/>
      <c r="AI297" s="606"/>
      <c r="AJ297" s="626"/>
      <c r="BR297" s="1019" t="s">
        <v>885</v>
      </c>
      <c r="BS297" s="1019" t="s">
        <v>425</v>
      </c>
      <c r="BT297" s="1019" t="s">
        <v>532</v>
      </c>
      <c r="BU297" s="1019" t="s">
        <v>896</v>
      </c>
    </row>
    <row r="298" spans="2:73" ht="12" x14ac:dyDescent="0.4">
      <c r="B298" s="125">
        <v>10</v>
      </c>
      <c r="C298" s="615"/>
      <c r="D298" s="608"/>
      <c r="E298" s="825" t="s">
        <v>884</v>
      </c>
      <c r="F298" s="703"/>
      <c r="G298" s="703"/>
      <c r="H298" s="703"/>
      <c r="I298" s="703"/>
      <c r="J298" s="822"/>
      <c r="K298" s="606"/>
      <c r="L298" s="608"/>
      <c r="M298" s="825" t="s">
        <v>884</v>
      </c>
      <c r="N298" s="703"/>
      <c r="O298" s="703"/>
      <c r="P298" s="703"/>
      <c r="Q298" s="703"/>
      <c r="R298" s="822"/>
      <c r="S298" s="606"/>
      <c r="T298" s="608"/>
      <c r="U298" s="825" t="s">
        <v>884</v>
      </c>
      <c r="V298" s="703"/>
      <c r="W298" s="703"/>
      <c r="X298" s="703"/>
      <c r="Y298" s="703"/>
      <c r="Z298" s="822"/>
      <c r="AA298" s="606"/>
      <c r="AB298" s="607"/>
      <c r="AC298" s="610"/>
      <c r="AD298" s="611"/>
      <c r="AE298" s="354"/>
      <c r="AF298" s="1024" t="str">
        <f>IF($AB$3="ON","↓","")</f>
        <v>↓</v>
      </c>
      <c r="AG298" s="349"/>
      <c r="AH298" s="358"/>
      <c r="AI298" s="609"/>
      <c r="AJ298" s="624"/>
      <c r="BR298" s="1019" t="s">
        <v>96</v>
      </c>
      <c r="BS298" s="1019" t="s">
        <v>96</v>
      </c>
      <c r="BT298" s="1019" t="s">
        <v>539</v>
      </c>
      <c r="BU298" s="1019" t="s">
        <v>897</v>
      </c>
    </row>
    <row r="299" spans="2:73" ht="12" x14ac:dyDescent="0.4">
      <c r="C299" s="616"/>
      <c r="D299" s="611"/>
      <c r="E299" s="706"/>
      <c r="F299" s="818"/>
      <c r="G299" s="818"/>
      <c r="H299" s="818"/>
      <c r="I299" s="818"/>
      <c r="J299" s="823"/>
      <c r="K299" s="609"/>
      <c r="L299" s="611"/>
      <c r="M299" s="706"/>
      <c r="N299" s="818"/>
      <c r="O299" s="818"/>
      <c r="P299" s="818"/>
      <c r="Q299" s="818"/>
      <c r="R299" s="823"/>
      <c r="S299" s="609"/>
      <c r="T299" s="611"/>
      <c r="U299" s="706"/>
      <c r="V299" s="818"/>
      <c r="W299" s="818"/>
      <c r="X299" s="818"/>
      <c r="Y299" s="818"/>
      <c r="Z299" s="823"/>
      <c r="AA299" s="609"/>
      <c r="AB299" s="610"/>
      <c r="AC299" s="610"/>
      <c r="AD299" s="611"/>
      <c r="AE299" s="354"/>
      <c r="AF299" s="1024" t="str">
        <f>IF($AB$3="ON","↓","")</f>
        <v>↓</v>
      </c>
      <c r="AG299" s="349"/>
      <c r="AH299" s="358"/>
      <c r="AI299" s="609"/>
      <c r="AJ299" s="624"/>
      <c r="BR299" s="1019" t="s">
        <v>508</v>
      </c>
      <c r="BS299" s="1019" t="s">
        <v>486</v>
      </c>
      <c r="BT299" s="1019" t="s">
        <v>539</v>
      </c>
      <c r="BU299" s="1019" t="s">
        <v>707</v>
      </c>
    </row>
    <row r="300" spans="2:73" ht="12" x14ac:dyDescent="0.4">
      <c r="C300" s="616"/>
      <c r="D300" s="611"/>
      <c r="E300" s="706"/>
      <c r="F300" s="818"/>
      <c r="G300" s="818"/>
      <c r="H300" s="818"/>
      <c r="I300" s="818"/>
      <c r="J300" s="823"/>
      <c r="K300" s="609"/>
      <c r="L300" s="611"/>
      <c r="M300" s="706"/>
      <c r="N300" s="818"/>
      <c r="O300" s="818"/>
      <c r="P300" s="818"/>
      <c r="Q300" s="818"/>
      <c r="R300" s="823"/>
      <c r="S300" s="609"/>
      <c r="T300" s="611"/>
      <c r="U300" s="706"/>
      <c r="V300" s="818"/>
      <c r="W300" s="818"/>
      <c r="X300" s="818"/>
      <c r="Y300" s="818"/>
      <c r="Z300" s="823"/>
      <c r="AA300" s="609"/>
      <c r="AB300" s="610"/>
      <c r="AC300" s="610"/>
      <c r="AD300" s="611"/>
      <c r="AE300" s="355"/>
      <c r="AF300" s="1072" t="str">
        <f>IF($AB$3="ON","↓","")</f>
        <v>↓</v>
      </c>
      <c r="AG300" s="356"/>
      <c r="AH300" s="359"/>
      <c r="AI300" s="609"/>
      <c r="AJ300" s="624"/>
    </row>
    <row r="301" spans="2:73" x14ac:dyDescent="0.4">
      <c r="C301" s="616"/>
      <c r="D301" s="611"/>
      <c r="E301" s="706"/>
      <c r="F301" s="818"/>
      <c r="G301" s="818"/>
      <c r="H301" s="818"/>
      <c r="I301" s="818"/>
      <c r="J301" s="823"/>
      <c r="K301" s="609"/>
      <c r="L301" s="611"/>
      <c r="M301" s="706"/>
      <c r="N301" s="818"/>
      <c r="O301" s="818"/>
      <c r="P301" s="818"/>
      <c r="Q301" s="818"/>
      <c r="R301" s="823"/>
      <c r="S301" s="609"/>
      <c r="T301" s="611"/>
      <c r="U301" s="706"/>
      <c r="V301" s="818"/>
      <c r="W301" s="818"/>
      <c r="X301" s="818"/>
      <c r="Y301" s="818"/>
      <c r="Z301" s="823"/>
      <c r="AA301" s="609"/>
      <c r="AB301" s="610"/>
      <c r="AC301" s="610"/>
      <c r="AD301" s="610"/>
      <c r="AE301" s="607"/>
      <c r="AF301" s="607"/>
      <c r="AG301" s="607"/>
      <c r="AH301" s="607"/>
      <c r="AI301" s="610"/>
      <c r="AJ301" s="624"/>
    </row>
    <row r="302" spans="2:73" x14ac:dyDescent="0.4">
      <c r="C302" s="616"/>
      <c r="D302" s="611"/>
      <c r="E302" s="820"/>
      <c r="F302" s="821"/>
      <c r="G302" s="821"/>
      <c r="H302" s="821"/>
      <c r="I302" s="821"/>
      <c r="J302" s="824"/>
      <c r="K302" s="609"/>
      <c r="L302" s="611"/>
      <c r="M302" s="820"/>
      <c r="N302" s="821"/>
      <c r="O302" s="821"/>
      <c r="P302" s="821"/>
      <c r="Q302" s="821"/>
      <c r="R302" s="824"/>
      <c r="S302" s="609"/>
      <c r="T302" s="611"/>
      <c r="U302" s="820"/>
      <c r="V302" s="821"/>
      <c r="W302" s="821"/>
      <c r="X302" s="821"/>
      <c r="Y302" s="821"/>
      <c r="Z302" s="824"/>
      <c r="AA302" s="609"/>
      <c r="AB302" s="610"/>
      <c r="AC302" s="610"/>
      <c r="AD302" s="610"/>
      <c r="AE302" s="610"/>
      <c r="AF302" s="610"/>
      <c r="AG302" s="610"/>
      <c r="AH302" s="610"/>
      <c r="AI302" s="610"/>
      <c r="AJ302" s="624"/>
    </row>
    <row r="303" spans="2:73" ht="11.25" thickBot="1" x14ac:dyDescent="0.45">
      <c r="B303" s="125">
        <v>15</v>
      </c>
      <c r="C303" s="620"/>
      <c r="D303" s="621"/>
      <c r="E303" s="819"/>
      <c r="F303" s="819"/>
      <c r="G303" s="819"/>
      <c r="H303" s="819"/>
      <c r="I303" s="819"/>
      <c r="J303" s="819"/>
      <c r="K303" s="621"/>
      <c r="L303" s="621"/>
      <c r="M303" s="819"/>
      <c r="N303" s="819"/>
      <c r="O303" s="819"/>
      <c r="P303" s="819"/>
      <c r="Q303" s="819"/>
      <c r="R303" s="819"/>
      <c r="S303" s="621"/>
      <c r="T303" s="621"/>
      <c r="U303" s="819"/>
      <c r="V303" s="819"/>
      <c r="W303" s="819"/>
      <c r="X303" s="819"/>
      <c r="Y303" s="819"/>
      <c r="Z303" s="819"/>
      <c r="AA303" s="621"/>
      <c r="AB303" s="621"/>
      <c r="AC303" s="621"/>
      <c r="AD303" s="621"/>
      <c r="AE303" s="621"/>
      <c r="AF303" s="621"/>
      <c r="AG303" s="621"/>
      <c r="AH303" s="621"/>
      <c r="AI303" s="621"/>
      <c r="AJ303" s="625"/>
    </row>
    <row r="307" spans="2:73" ht="15.75" x14ac:dyDescent="0.4">
      <c r="B307" s="122" t="s">
        <v>898</v>
      </c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  <c r="AN307" s="121"/>
      <c r="AO307" s="121"/>
      <c r="AP307" s="121"/>
      <c r="AQ307" s="121"/>
      <c r="AR307" s="121"/>
      <c r="AS307" s="121"/>
      <c r="AT307" s="121"/>
      <c r="AU307" s="121"/>
      <c r="AV307" s="121"/>
      <c r="AW307" s="121"/>
      <c r="AX307" s="121"/>
      <c r="AY307" s="121"/>
      <c r="AZ307" s="121"/>
      <c r="BA307" s="121"/>
      <c r="BB307" s="121"/>
      <c r="BC307" s="121"/>
      <c r="BD307" s="121"/>
      <c r="BE307" s="121"/>
      <c r="BF307" s="121"/>
      <c r="BG307" s="121"/>
      <c r="BH307" s="121"/>
      <c r="BI307" s="121"/>
      <c r="BJ307" s="123" t="s">
        <v>899</v>
      </c>
      <c r="BK307" s="121"/>
      <c r="BL307" s="121"/>
      <c r="BM307" s="121"/>
      <c r="BN307" s="121"/>
      <c r="BO307" s="121"/>
      <c r="BP307" s="121"/>
      <c r="BQ307" s="121"/>
      <c r="BR307" s="121"/>
      <c r="BS307" s="121"/>
      <c r="BT307" s="121"/>
      <c r="BU307" s="121"/>
    </row>
    <row r="308" spans="2:73" ht="12" x14ac:dyDescent="0.4">
      <c r="B308" s="124" t="s">
        <v>900</v>
      </c>
    </row>
    <row r="309" spans="2:73" ht="12.75" thickBot="1" x14ac:dyDescent="0.45">
      <c r="C309" s="125">
        <v>0</v>
      </c>
      <c r="H309" s="125">
        <v>5</v>
      </c>
      <c r="M309" s="125">
        <v>10</v>
      </c>
      <c r="R309" s="125">
        <v>15</v>
      </c>
      <c r="BR309" s="272" t="s">
        <v>310</v>
      </c>
      <c r="BS309" s="272" t="s">
        <v>529</v>
      </c>
      <c r="BT309" s="272" t="s">
        <v>530</v>
      </c>
      <c r="BU309" s="272" t="s">
        <v>531</v>
      </c>
    </row>
    <row r="310" spans="2:73" ht="12" x14ac:dyDescent="0.4">
      <c r="B310" s="125">
        <v>0</v>
      </c>
      <c r="C310" s="838" t="s">
        <v>430</v>
      </c>
      <c r="D310" s="832"/>
      <c r="E310" s="832"/>
      <c r="F310" s="835"/>
      <c r="G310" s="766"/>
      <c r="H310" s="739"/>
      <c r="I310" s="739"/>
      <c r="J310" s="739"/>
      <c r="K310" s="739"/>
      <c r="L310" s="739"/>
      <c r="M310" s="739"/>
      <c r="N310" s="739"/>
      <c r="O310" s="739"/>
      <c r="P310" s="739"/>
      <c r="Q310" s="739"/>
      <c r="R310" s="744"/>
      <c r="BR310" s="1019" t="s">
        <v>901</v>
      </c>
      <c r="BS310" s="1019" t="s">
        <v>483</v>
      </c>
      <c r="BT310" s="1019" t="s">
        <v>902</v>
      </c>
      <c r="BU310" s="1019" t="s">
        <v>903</v>
      </c>
    </row>
    <row r="311" spans="2:73" ht="12" x14ac:dyDescent="0.4">
      <c r="C311" s="831"/>
      <c r="D311" s="830"/>
      <c r="E311" s="830"/>
      <c r="F311" s="836"/>
      <c r="G311" s="730"/>
      <c r="H311" s="731"/>
      <c r="I311" s="731"/>
      <c r="J311" s="731"/>
      <c r="K311" s="1068" t="str">
        <f t="shared" ref="K311:K317" si="15">IF($AB$3="ON","↑","")</f>
        <v>↑</v>
      </c>
      <c r="L311" s="731"/>
      <c r="M311" s="731"/>
      <c r="N311" s="731"/>
      <c r="O311" s="731"/>
      <c r="P311" s="731"/>
      <c r="Q311" s="731"/>
      <c r="R311" s="745"/>
      <c r="BR311" s="1019" t="s">
        <v>650</v>
      </c>
      <c r="BS311" s="1019" t="s">
        <v>435</v>
      </c>
      <c r="BT311" s="1019" t="s">
        <v>902</v>
      </c>
      <c r="BU311" s="1019" t="s">
        <v>857</v>
      </c>
    </row>
    <row r="312" spans="2:73" ht="12" x14ac:dyDescent="0.4">
      <c r="C312" s="831"/>
      <c r="D312" s="830"/>
      <c r="E312" s="830"/>
      <c r="F312" s="836"/>
      <c r="G312" s="730"/>
      <c r="H312" s="731"/>
      <c r="I312" s="731"/>
      <c r="J312" s="731"/>
      <c r="K312" s="1068" t="str">
        <f t="shared" si="15"/>
        <v>↑</v>
      </c>
      <c r="L312" s="731"/>
      <c r="M312" s="731"/>
      <c r="N312" s="731"/>
      <c r="O312" s="414" t="s">
        <v>666</v>
      </c>
      <c r="P312" s="731"/>
      <c r="Q312" s="731"/>
      <c r="R312" s="745"/>
      <c r="BR312" s="1019" t="s">
        <v>430</v>
      </c>
      <c r="BS312" s="1019" t="s">
        <v>430</v>
      </c>
      <c r="BT312" s="1019" t="s">
        <v>904</v>
      </c>
      <c r="BU312" s="1019" t="s">
        <v>753</v>
      </c>
    </row>
    <row r="313" spans="2:73" ht="12" x14ac:dyDescent="0.4">
      <c r="C313" s="831"/>
      <c r="D313" s="830"/>
      <c r="E313" s="830"/>
      <c r="F313" s="836"/>
      <c r="G313" s="730"/>
      <c r="H313" s="731"/>
      <c r="I313" s="731"/>
      <c r="J313" s="731"/>
      <c r="K313" s="1068" t="str">
        <f t="shared" si="15"/>
        <v>↑</v>
      </c>
      <c r="L313" s="731"/>
      <c r="M313" s="731"/>
      <c r="N313" s="731"/>
      <c r="O313" s="731"/>
      <c r="P313" s="731"/>
      <c r="Q313" s="734"/>
      <c r="R313" s="747"/>
      <c r="BR313" s="1019" t="s">
        <v>456</v>
      </c>
      <c r="BS313" s="1019" t="s">
        <v>456</v>
      </c>
      <c r="BT313" s="1019" t="s">
        <v>905</v>
      </c>
      <c r="BU313" s="1019" t="s">
        <v>906</v>
      </c>
    </row>
    <row r="314" spans="2:73" ht="12" x14ac:dyDescent="0.4">
      <c r="C314" s="831"/>
      <c r="D314" s="830"/>
      <c r="E314" s="830"/>
      <c r="F314" s="836"/>
      <c r="G314" s="730"/>
      <c r="H314" s="731"/>
      <c r="I314" s="731"/>
      <c r="J314" s="731"/>
      <c r="K314" s="1068" t="str">
        <f t="shared" si="15"/>
        <v>↑</v>
      </c>
      <c r="L314" s="731"/>
      <c r="M314" s="731"/>
      <c r="N314" s="731"/>
      <c r="O314" s="731"/>
      <c r="P314" s="732"/>
      <c r="Q314" s="751" t="s">
        <v>650</v>
      </c>
      <c r="R314" s="827" t="s">
        <v>901</v>
      </c>
      <c r="BR314" s="1019" t="s">
        <v>469</v>
      </c>
      <c r="BS314" s="1019" t="s">
        <v>469</v>
      </c>
      <c r="BT314" s="1019" t="s">
        <v>565</v>
      </c>
      <c r="BU314" s="1019" t="s">
        <v>907</v>
      </c>
    </row>
    <row r="315" spans="2:73" ht="12" x14ac:dyDescent="0.4">
      <c r="B315" s="125">
        <v>5</v>
      </c>
      <c r="C315" s="831"/>
      <c r="D315" s="830"/>
      <c r="E315" s="830"/>
      <c r="F315" s="836"/>
      <c r="G315" s="730"/>
      <c r="H315" s="731"/>
      <c r="I315" s="731"/>
      <c r="J315" s="731"/>
      <c r="K315" s="1068" t="str">
        <f t="shared" si="15"/>
        <v>↑</v>
      </c>
      <c r="L315" s="731"/>
      <c r="M315" s="731"/>
      <c r="N315" s="731"/>
      <c r="O315" s="731"/>
      <c r="P315" s="732"/>
      <c r="Q315" s="749"/>
      <c r="R315" s="828"/>
      <c r="BR315" s="1019" t="s">
        <v>469</v>
      </c>
      <c r="BS315" s="1019" t="s">
        <v>469</v>
      </c>
      <c r="BT315" s="1019" t="s">
        <v>565</v>
      </c>
      <c r="BU315" s="1019" t="s">
        <v>829</v>
      </c>
    </row>
    <row r="316" spans="2:73" ht="12" x14ac:dyDescent="0.4">
      <c r="C316" s="831"/>
      <c r="D316" s="830"/>
      <c r="E316" s="195" t="s">
        <v>96</v>
      </c>
      <c r="F316" s="836"/>
      <c r="G316" s="730"/>
      <c r="H316" s="731"/>
      <c r="I316" s="731"/>
      <c r="J316" s="731"/>
      <c r="K316" s="1068" t="str">
        <f t="shared" si="15"/>
        <v>↑</v>
      </c>
      <c r="L316" s="731"/>
      <c r="M316" s="731"/>
      <c r="N316" s="731"/>
      <c r="O316" s="731"/>
      <c r="P316" s="732"/>
      <c r="Q316" s="749"/>
      <c r="R316" s="828"/>
      <c r="BR316" s="1019" t="s">
        <v>469</v>
      </c>
      <c r="BS316" s="1019" t="s">
        <v>469</v>
      </c>
      <c r="BT316" s="1019" t="s">
        <v>565</v>
      </c>
      <c r="BU316" s="1019" t="s">
        <v>908</v>
      </c>
    </row>
    <row r="317" spans="2:73" ht="12" x14ac:dyDescent="0.4">
      <c r="C317" s="831"/>
      <c r="D317" s="830"/>
      <c r="E317" s="830"/>
      <c r="F317" s="836"/>
      <c r="G317" s="733"/>
      <c r="H317" s="734"/>
      <c r="I317" s="734"/>
      <c r="J317" s="731"/>
      <c r="K317" s="1068" t="str">
        <f t="shared" si="15"/>
        <v>↑</v>
      </c>
      <c r="L317" s="731"/>
      <c r="M317" s="731"/>
      <c r="N317" s="731"/>
      <c r="O317" s="731"/>
      <c r="P317" s="732"/>
      <c r="Q317" s="749"/>
      <c r="R317" s="828"/>
      <c r="BR317" s="1019" t="s">
        <v>469</v>
      </c>
      <c r="BS317" s="1019" t="s">
        <v>469</v>
      </c>
      <c r="BT317" s="1019" t="s">
        <v>565</v>
      </c>
      <c r="BU317" s="1019" t="s">
        <v>909</v>
      </c>
    </row>
    <row r="318" spans="2:73" ht="12" x14ac:dyDescent="0.4">
      <c r="C318" s="831"/>
      <c r="D318" s="830"/>
      <c r="E318" s="830"/>
      <c r="F318" s="844"/>
      <c r="G318" s="850" t="s">
        <v>469</v>
      </c>
      <c r="H318" s="845"/>
      <c r="I318" s="848"/>
      <c r="J318" s="730"/>
      <c r="K318" s="731"/>
      <c r="L318" s="731"/>
      <c r="M318" s="731"/>
      <c r="N318" s="731"/>
      <c r="O318" s="731"/>
      <c r="P318" s="732"/>
      <c r="Q318" s="749"/>
      <c r="R318" s="828"/>
      <c r="BR318" s="1019" t="s">
        <v>96</v>
      </c>
      <c r="BS318" s="1019" t="s">
        <v>96</v>
      </c>
      <c r="BT318" s="1019" t="s">
        <v>539</v>
      </c>
      <c r="BU318" s="1019" t="s">
        <v>786</v>
      </c>
    </row>
    <row r="319" spans="2:73" ht="12" x14ac:dyDescent="0.4">
      <c r="C319" s="831"/>
      <c r="D319" s="830"/>
      <c r="E319" s="830"/>
      <c r="F319" s="844"/>
      <c r="G319" s="846"/>
      <c r="H319" s="847"/>
      <c r="I319" s="849"/>
      <c r="J319" s="730"/>
      <c r="K319" s="1068" t="str">
        <f t="shared" ref="K319:K325" si="16">IF($AB$3="ON","↑","")</f>
        <v>↑</v>
      </c>
      <c r="L319" s="731"/>
      <c r="M319" s="731"/>
      <c r="N319" s="731"/>
      <c r="O319" s="731"/>
      <c r="P319" s="732"/>
      <c r="Q319" s="749"/>
      <c r="R319" s="828"/>
      <c r="BR319" s="1019" t="s">
        <v>96</v>
      </c>
      <c r="BS319" s="1019" t="s">
        <v>96</v>
      </c>
      <c r="BT319" s="1019" t="s">
        <v>539</v>
      </c>
      <c r="BU319" s="1019" t="s">
        <v>583</v>
      </c>
    </row>
    <row r="320" spans="2:73" ht="12" x14ac:dyDescent="0.4">
      <c r="B320" s="125">
        <v>10</v>
      </c>
      <c r="C320" s="831"/>
      <c r="D320" s="830"/>
      <c r="E320" s="830"/>
      <c r="F320" s="836"/>
      <c r="G320" s="727"/>
      <c r="H320" s="728"/>
      <c r="I320" s="728"/>
      <c r="J320" s="731"/>
      <c r="K320" s="1068" t="str">
        <f t="shared" si="16"/>
        <v>↑</v>
      </c>
      <c r="L320" s="731"/>
      <c r="M320" s="731"/>
      <c r="N320" s="731"/>
      <c r="O320" s="731"/>
      <c r="P320" s="732"/>
      <c r="Q320" s="749"/>
      <c r="R320" s="828"/>
      <c r="BR320" s="1019" t="s">
        <v>96</v>
      </c>
      <c r="BS320" s="1019" t="s">
        <v>96</v>
      </c>
      <c r="BT320" s="1019" t="s">
        <v>539</v>
      </c>
      <c r="BU320" s="1019" t="s">
        <v>910</v>
      </c>
    </row>
    <row r="321" spans="2:73" ht="12" x14ac:dyDescent="0.4">
      <c r="C321" s="831"/>
      <c r="D321" s="830"/>
      <c r="E321" s="830"/>
      <c r="F321" s="836"/>
      <c r="G321" s="730"/>
      <c r="H321" s="731"/>
      <c r="I321" s="731"/>
      <c r="J321" s="731"/>
      <c r="K321" s="1068" t="str">
        <f t="shared" si="16"/>
        <v>↑</v>
      </c>
      <c r="L321" s="731"/>
      <c r="M321" s="731"/>
      <c r="N321" s="731"/>
      <c r="O321" s="731"/>
      <c r="P321" s="732"/>
      <c r="Q321" s="749"/>
      <c r="R321" s="828"/>
      <c r="BR321" s="1019" t="s">
        <v>96</v>
      </c>
      <c r="BS321" s="1019" t="s">
        <v>96</v>
      </c>
      <c r="BT321" s="1019" t="s">
        <v>539</v>
      </c>
      <c r="BU321" s="1019" t="s">
        <v>911</v>
      </c>
    </row>
    <row r="322" spans="2:73" ht="12" x14ac:dyDescent="0.4">
      <c r="C322" s="831"/>
      <c r="D322" s="830"/>
      <c r="E322" s="830"/>
      <c r="F322" s="836"/>
      <c r="G322" s="730"/>
      <c r="H322" s="731"/>
      <c r="I322" s="195" t="s">
        <v>96</v>
      </c>
      <c r="J322" s="731"/>
      <c r="K322" s="1068" t="str">
        <f t="shared" si="16"/>
        <v>↑</v>
      </c>
      <c r="L322" s="731"/>
      <c r="M322" s="731"/>
      <c r="N322" s="731"/>
      <c r="O322" s="731"/>
      <c r="P322" s="732"/>
      <c r="Q322" s="749"/>
      <c r="R322" s="828"/>
      <c r="BR322" s="1019" t="s">
        <v>508</v>
      </c>
      <c r="BS322" s="1019" t="s">
        <v>486</v>
      </c>
      <c r="BT322" s="1019" t="s">
        <v>539</v>
      </c>
      <c r="BU322" s="1019" t="s">
        <v>912</v>
      </c>
    </row>
    <row r="323" spans="2:73" ht="12" x14ac:dyDescent="0.4">
      <c r="C323" s="831"/>
      <c r="D323" s="830"/>
      <c r="E323" s="830"/>
      <c r="F323" s="836"/>
      <c r="G323" s="730"/>
      <c r="H323" s="731"/>
      <c r="I323" s="731"/>
      <c r="J323" s="731"/>
      <c r="K323" s="1068" t="str">
        <f t="shared" si="16"/>
        <v>↑</v>
      </c>
      <c r="L323" s="731"/>
      <c r="M323" s="731"/>
      <c r="N323" s="731"/>
      <c r="O323" s="731"/>
      <c r="P323" s="732"/>
      <c r="Q323" s="749"/>
      <c r="R323" s="828"/>
    </row>
    <row r="324" spans="2:73" ht="12" x14ac:dyDescent="0.4">
      <c r="C324" s="831"/>
      <c r="D324" s="830"/>
      <c r="E324" s="830"/>
      <c r="F324" s="836"/>
      <c r="G324" s="730"/>
      <c r="H324" s="731"/>
      <c r="I324" s="731"/>
      <c r="J324" s="731"/>
      <c r="K324" s="1068" t="str">
        <f t="shared" si="16"/>
        <v>↑</v>
      </c>
      <c r="L324" s="731"/>
      <c r="M324" s="731"/>
      <c r="N324" s="731"/>
      <c r="O324" s="731"/>
      <c r="P324" s="732"/>
      <c r="Q324" s="749"/>
      <c r="R324" s="828"/>
    </row>
    <row r="325" spans="2:73" ht="12" x14ac:dyDescent="0.4">
      <c r="B325" s="125">
        <v>15</v>
      </c>
      <c r="C325" s="831"/>
      <c r="D325" s="830"/>
      <c r="E325" s="830"/>
      <c r="F325" s="836"/>
      <c r="G325" s="730"/>
      <c r="H325" s="731"/>
      <c r="I325" s="734"/>
      <c r="J325" s="734"/>
      <c r="K325" s="1067" t="str">
        <f t="shared" si="16"/>
        <v>↑</v>
      </c>
      <c r="L325" s="731"/>
      <c r="M325" s="731"/>
      <c r="N325" s="731"/>
      <c r="O325" s="731"/>
      <c r="P325" s="732"/>
      <c r="Q325" s="749"/>
      <c r="R325" s="828"/>
    </row>
    <row r="326" spans="2:73" x14ac:dyDescent="0.4">
      <c r="C326" s="831"/>
      <c r="D326" s="830"/>
      <c r="E326" s="830"/>
      <c r="F326" s="836"/>
      <c r="G326" s="730"/>
      <c r="H326" s="732"/>
      <c r="I326" s="850" t="s">
        <v>469</v>
      </c>
      <c r="J326" s="845"/>
      <c r="K326" s="848"/>
      <c r="L326" s="730"/>
      <c r="M326" s="731"/>
      <c r="N326" s="731"/>
      <c r="O326" s="731"/>
      <c r="P326" s="732"/>
      <c r="Q326" s="749"/>
      <c r="R326" s="828"/>
    </row>
    <row r="327" spans="2:73" ht="12" x14ac:dyDescent="0.4">
      <c r="C327" s="831"/>
      <c r="D327" s="830"/>
      <c r="E327" s="830"/>
      <c r="F327" s="836"/>
      <c r="G327" s="730"/>
      <c r="H327" s="732"/>
      <c r="I327" s="846"/>
      <c r="J327" s="847"/>
      <c r="K327" s="1074" t="str">
        <f t="shared" ref="K327:K339" si="17">IF($AB$3="ON","↑","")</f>
        <v>↑</v>
      </c>
      <c r="L327" s="730"/>
      <c r="M327" s="731"/>
      <c r="N327" s="731"/>
      <c r="O327" s="731"/>
      <c r="P327" s="732"/>
      <c r="Q327" s="749"/>
      <c r="R327" s="828"/>
    </row>
    <row r="328" spans="2:73" ht="12" x14ac:dyDescent="0.4">
      <c r="C328" s="831"/>
      <c r="D328" s="830"/>
      <c r="E328" s="830"/>
      <c r="F328" s="836"/>
      <c r="G328" s="730"/>
      <c r="H328" s="731"/>
      <c r="I328" s="728"/>
      <c r="J328" s="728"/>
      <c r="K328" s="1069" t="str">
        <f t="shared" si="17"/>
        <v>↑</v>
      </c>
      <c r="L328" s="731"/>
      <c r="M328" s="731"/>
      <c r="N328" s="731"/>
      <c r="O328" s="731"/>
      <c r="P328" s="732"/>
      <c r="Q328" s="749"/>
      <c r="R328" s="828"/>
    </row>
    <row r="329" spans="2:73" ht="12" x14ac:dyDescent="0.4">
      <c r="C329" s="833"/>
      <c r="D329" s="834"/>
      <c r="E329" s="834"/>
      <c r="F329" s="837"/>
      <c r="G329" s="730"/>
      <c r="H329" s="731"/>
      <c r="I329" s="731"/>
      <c r="J329" s="731"/>
      <c r="K329" s="1068" t="str">
        <f t="shared" si="17"/>
        <v>↑</v>
      </c>
      <c r="L329" s="731"/>
      <c r="M329" s="731"/>
      <c r="N329" s="731"/>
      <c r="O329" s="731"/>
      <c r="P329" s="732"/>
      <c r="Q329" s="749"/>
      <c r="R329" s="828"/>
    </row>
    <row r="330" spans="2:73" ht="12" x14ac:dyDescent="0.4">
      <c r="B330" s="125">
        <v>20</v>
      </c>
      <c r="C330" s="735"/>
      <c r="D330" s="728"/>
      <c r="E330" s="728"/>
      <c r="F330" s="728"/>
      <c r="G330" s="731"/>
      <c r="H330" s="731"/>
      <c r="I330" s="731"/>
      <c r="J330" s="731"/>
      <c r="K330" s="1068" t="str">
        <f t="shared" si="17"/>
        <v>↑</v>
      </c>
      <c r="L330" s="195" t="s">
        <v>96</v>
      </c>
      <c r="M330" s="731"/>
      <c r="N330" s="731"/>
      <c r="O330" s="731"/>
      <c r="P330" s="732"/>
      <c r="Q330" s="749"/>
      <c r="R330" s="828"/>
    </row>
    <row r="331" spans="2:73" ht="12" x14ac:dyDescent="0.4">
      <c r="C331" s="737"/>
      <c r="D331" s="731"/>
      <c r="E331" s="731"/>
      <c r="F331" s="731"/>
      <c r="G331" s="731"/>
      <c r="H331" s="731"/>
      <c r="I331" s="731"/>
      <c r="J331" s="731"/>
      <c r="K331" s="1068" t="str">
        <f t="shared" si="17"/>
        <v>↑</v>
      </c>
      <c r="L331" s="731"/>
      <c r="M331" s="731"/>
      <c r="N331" s="731"/>
      <c r="O331" s="731"/>
      <c r="P331" s="732"/>
      <c r="Q331" s="749"/>
      <c r="R331" s="828"/>
    </row>
    <row r="332" spans="2:73" ht="12" x14ac:dyDescent="0.4">
      <c r="C332" s="841" t="s">
        <v>456</v>
      </c>
      <c r="D332" s="730"/>
      <c r="E332" s="731"/>
      <c r="F332" s="731"/>
      <c r="G332" s="731"/>
      <c r="H332" s="731"/>
      <c r="I332" s="731"/>
      <c r="J332" s="731"/>
      <c r="K332" s="1068" t="str">
        <f t="shared" si="17"/>
        <v>↑</v>
      </c>
      <c r="L332" s="731"/>
      <c r="M332" s="731"/>
      <c r="N332" s="731"/>
      <c r="O332" s="731"/>
      <c r="P332" s="732"/>
      <c r="Q332" s="749"/>
      <c r="R332" s="828"/>
    </row>
    <row r="333" spans="2:73" ht="12" x14ac:dyDescent="0.4">
      <c r="C333" s="839"/>
      <c r="D333" s="730"/>
      <c r="E333" s="731"/>
      <c r="F333" s="734"/>
      <c r="G333" s="734"/>
      <c r="H333" s="734"/>
      <c r="I333" s="731"/>
      <c r="J333" s="731"/>
      <c r="K333" s="1068" t="str">
        <f t="shared" si="17"/>
        <v>↑</v>
      </c>
      <c r="L333" s="731"/>
      <c r="M333" s="731"/>
      <c r="N333" s="731"/>
      <c r="O333" s="731"/>
      <c r="P333" s="732"/>
      <c r="Q333" s="749"/>
      <c r="R333" s="828"/>
    </row>
    <row r="334" spans="2:73" ht="12" x14ac:dyDescent="0.4">
      <c r="C334" s="839"/>
      <c r="D334" s="730"/>
      <c r="E334" s="732"/>
      <c r="F334" s="850" t="s">
        <v>469</v>
      </c>
      <c r="G334" s="845"/>
      <c r="H334" s="848"/>
      <c r="I334" s="730"/>
      <c r="J334" s="731"/>
      <c r="K334" s="1068" t="str">
        <f t="shared" si="17"/>
        <v>↑</v>
      </c>
      <c r="L334" s="731"/>
      <c r="M334" s="731"/>
      <c r="N334" s="731"/>
      <c r="O334" s="731"/>
      <c r="P334" s="732"/>
      <c r="Q334" s="749"/>
      <c r="R334" s="828"/>
    </row>
    <row r="335" spans="2:73" ht="12" x14ac:dyDescent="0.4">
      <c r="B335" s="125">
        <v>25</v>
      </c>
      <c r="C335" s="839"/>
      <c r="D335" s="730"/>
      <c r="E335" s="732"/>
      <c r="F335" s="846"/>
      <c r="G335" s="847"/>
      <c r="H335" s="849"/>
      <c r="I335" s="730"/>
      <c r="J335" s="731"/>
      <c r="K335" s="1068" t="str">
        <f t="shared" si="17"/>
        <v>↑</v>
      </c>
      <c r="L335" s="731"/>
      <c r="M335" s="731"/>
      <c r="N335" s="731"/>
      <c r="O335" s="731"/>
      <c r="P335" s="732"/>
      <c r="Q335" s="749"/>
      <c r="R335" s="828"/>
    </row>
    <row r="336" spans="2:73" ht="12" x14ac:dyDescent="0.4">
      <c r="C336" s="839"/>
      <c r="D336" s="730"/>
      <c r="E336" s="731"/>
      <c r="F336" s="728"/>
      <c r="G336" s="728"/>
      <c r="H336" s="728"/>
      <c r="I336" s="731"/>
      <c r="J336" s="731"/>
      <c r="K336" s="1068" t="str">
        <f t="shared" si="17"/>
        <v>↑</v>
      </c>
      <c r="L336" s="731"/>
      <c r="M336" s="731"/>
      <c r="N336" s="731"/>
      <c r="O336" s="731"/>
      <c r="P336" s="732"/>
      <c r="Q336" s="749"/>
      <c r="R336" s="828"/>
    </row>
    <row r="337" spans="2:18" ht="12" x14ac:dyDescent="0.4">
      <c r="C337" s="839"/>
      <c r="D337" s="730"/>
      <c r="E337" s="731"/>
      <c r="F337" s="731"/>
      <c r="G337" s="731"/>
      <c r="H337" s="731"/>
      <c r="I337" s="731"/>
      <c r="J337" s="731"/>
      <c r="K337" s="1068" t="str">
        <f t="shared" si="17"/>
        <v>↑</v>
      </c>
      <c r="L337" s="731"/>
      <c r="M337" s="731"/>
      <c r="N337" s="731"/>
      <c r="O337" s="731"/>
      <c r="P337" s="732"/>
      <c r="Q337" s="749"/>
      <c r="R337" s="828"/>
    </row>
    <row r="338" spans="2:18" ht="12" x14ac:dyDescent="0.4">
      <c r="C338" s="839"/>
      <c r="D338" s="730"/>
      <c r="E338" s="731"/>
      <c r="F338" s="731"/>
      <c r="G338" s="731"/>
      <c r="H338" s="195" t="s">
        <v>96</v>
      </c>
      <c r="I338" s="731"/>
      <c r="J338" s="731"/>
      <c r="K338" s="1068" t="str">
        <f t="shared" si="17"/>
        <v>↑</v>
      </c>
      <c r="L338" s="731"/>
      <c r="M338" s="731"/>
      <c r="N338" s="731"/>
      <c r="O338" s="731"/>
      <c r="P338" s="732"/>
      <c r="Q338" s="749"/>
      <c r="R338" s="828"/>
    </row>
    <row r="339" spans="2:18" ht="12" x14ac:dyDescent="0.4">
      <c r="C339" s="839"/>
      <c r="D339" s="730"/>
      <c r="E339" s="731"/>
      <c r="F339" s="731"/>
      <c r="G339" s="731"/>
      <c r="H339" s="731"/>
      <c r="I339" s="731"/>
      <c r="J339" s="731"/>
      <c r="K339" s="1067" t="str">
        <f t="shared" si="17"/>
        <v>↑</v>
      </c>
      <c r="L339" s="734"/>
      <c r="M339" s="734"/>
      <c r="N339" s="731"/>
      <c r="O339" s="731"/>
      <c r="P339" s="732"/>
      <c r="Q339" s="749"/>
      <c r="R339" s="828"/>
    </row>
    <row r="340" spans="2:18" x14ac:dyDescent="0.4">
      <c r="B340" s="125">
        <v>30</v>
      </c>
      <c r="C340" s="839"/>
      <c r="D340" s="730"/>
      <c r="E340" s="731"/>
      <c r="F340" s="731"/>
      <c r="G340" s="731"/>
      <c r="H340" s="731"/>
      <c r="I340" s="731"/>
      <c r="J340" s="732"/>
      <c r="K340" s="850" t="s">
        <v>469</v>
      </c>
      <c r="L340" s="845"/>
      <c r="M340" s="848"/>
      <c r="N340" s="730"/>
      <c r="O340" s="731"/>
      <c r="P340" s="732"/>
      <c r="Q340" s="749"/>
      <c r="R340" s="828"/>
    </row>
    <row r="341" spans="2:18" ht="12" x14ac:dyDescent="0.4">
      <c r="C341" s="839"/>
      <c r="D341" s="730"/>
      <c r="E341" s="731"/>
      <c r="F341" s="731"/>
      <c r="G341" s="731"/>
      <c r="H341" s="731"/>
      <c r="I341" s="731"/>
      <c r="J341" s="732"/>
      <c r="K341" s="1073" t="str">
        <f t="shared" ref="K341:K352" si="18">IF($AB$3="ON","↑","")</f>
        <v>↑</v>
      </c>
      <c r="L341" s="847"/>
      <c r="M341" s="849"/>
      <c r="N341" s="730"/>
      <c r="O341" s="731"/>
      <c r="P341" s="732"/>
      <c r="Q341" s="749"/>
      <c r="R341" s="828"/>
    </row>
    <row r="342" spans="2:18" ht="12" x14ac:dyDescent="0.4">
      <c r="C342" s="839"/>
      <c r="D342" s="730"/>
      <c r="E342" s="731"/>
      <c r="F342" s="731"/>
      <c r="G342" s="731"/>
      <c r="H342" s="731"/>
      <c r="I342" s="731"/>
      <c r="J342" s="731"/>
      <c r="K342" s="1069" t="str">
        <f t="shared" si="18"/>
        <v>↑</v>
      </c>
      <c r="L342" s="728"/>
      <c r="M342" s="728"/>
      <c r="N342" s="731"/>
      <c r="O342" s="731"/>
      <c r="P342" s="732"/>
      <c r="Q342" s="749"/>
      <c r="R342" s="828"/>
    </row>
    <row r="343" spans="2:18" ht="12" x14ac:dyDescent="0.4">
      <c r="C343" s="839"/>
      <c r="D343" s="730"/>
      <c r="E343" s="731"/>
      <c r="F343" s="731"/>
      <c r="G343" s="731"/>
      <c r="H343" s="731"/>
      <c r="I343" s="731"/>
      <c r="J343" s="731"/>
      <c r="K343" s="1068" t="str">
        <f t="shared" si="18"/>
        <v>↑</v>
      </c>
      <c r="L343" s="731"/>
      <c r="M343" s="731"/>
      <c r="N343" s="731"/>
      <c r="O343" s="731"/>
      <c r="P343" s="732"/>
      <c r="Q343" s="750"/>
      <c r="R343" s="829"/>
    </row>
    <row r="344" spans="2:18" ht="12" x14ac:dyDescent="0.4">
      <c r="C344" s="839"/>
      <c r="D344" s="730"/>
      <c r="E344" s="731"/>
      <c r="F344" s="731"/>
      <c r="G344" s="731"/>
      <c r="H344" s="731"/>
      <c r="I344" s="731"/>
      <c r="J344" s="731"/>
      <c r="K344" s="1068" t="str">
        <f t="shared" si="18"/>
        <v>↑</v>
      </c>
      <c r="L344" s="731"/>
      <c r="M344" s="731"/>
      <c r="N344" s="731"/>
      <c r="O344" s="731"/>
      <c r="P344" s="731"/>
      <c r="Q344" s="728"/>
      <c r="R344" s="748"/>
    </row>
    <row r="345" spans="2:18" ht="12" x14ac:dyDescent="0.4">
      <c r="B345" s="125">
        <v>35</v>
      </c>
      <c r="C345" s="839"/>
      <c r="D345" s="730"/>
      <c r="E345" s="731"/>
      <c r="F345" s="731"/>
      <c r="G345" s="731"/>
      <c r="H345" s="731"/>
      <c r="I345" s="731"/>
      <c r="J345" s="731"/>
      <c r="K345" s="1068" t="str">
        <f t="shared" si="18"/>
        <v>↑</v>
      </c>
      <c r="L345" s="731"/>
      <c r="M345" s="731"/>
      <c r="N345" s="731"/>
      <c r="O345" s="731"/>
      <c r="P345" s="731"/>
      <c r="Q345" s="731"/>
      <c r="R345" s="745"/>
    </row>
    <row r="346" spans="2:18" ht="12" x14ac:dyDescent="0.4">
      <c r="C346" s="839"/>
      <c r="D346" s="730"/>
      <c r="E346" s="731"/>
      <c r="F346" s="731"/>
      <c r="G346" s="731"/>
      <c r="H346" s="731"/>
      <c r="I346" s="731"/>
      <c r="J346" s="731"/>
      <c r="K346" s="1068" t="str">
        <f t="shared" si="18"/>
        <v>↑</v>
      </c>
      <c r="L346" s="731"/>
      <c r="M346" s="731"/>
      <c r="N346" s="731"/>
      <c r="O346" s="731"/>
      <c r="P346" s="731"/>
      <c r="Q346" s="731"/>
      <c r="R346" s="745"/>
    </row>
    <row r="347" spans="2:18" ht="12" x14ac:dyDescent="0.4">
      <c r="C347" s="840"/>
      <c r="D347" s="730"/>
      <c r="E347" s="731"/>
      <c r="F347" s="731"/>
      <c r="G347" s="731"/>
      <c r="H347" s="731"/>
      <c r="I347" s="731"/>
      <c r="J347" s="731"/>
      <c r="K347" s="1068" t="str">
        <f t="shared" si="18"/>
        <v>↑</v>
      </c>
      <c r="L347" s="731"/>
      <c r="M347" s="731"/>
      <c r="N347" s="731"/>
      <c r="O347" s="731"/>
      <c r="P347" s="731"/>
      <c r="Q347" s="731"/>
      <c r="R347" s="745"/>
    </row>
    <row r="348" spans="2:18" ht="12" x14ac:dyDescent="0.4">
      <c r="C348" s="735"/>
      <c r="D348" s="731"/>
      <c r="E348" s="731"/>
      <c r="F348" s="731"/>
      <c r="G348" s="731"/>
      <c r="H348" s="731"/>
      <c r="I348" s="731"/>
      <c r="J348" s="731"/>
      <c r="K348" s="1068" t="str">
        <f t="shared" si="18"/>
        <v>↑</v>
      </c>
      <c r="L348" s="731"/>
      <c r="M348" s="731"/>
      <c r="N348" s="731"/>
      <c r="O348" s="731"/>
      <c r="P348" s="731"/>
      <c r="Q348" s="731"/>
      <c r="R348" s="745"/>
    </row>
    <row r="349" spans="2:18" ht="12" x14ac:dyDescent="0.4">
      <c r="C349" s="736"/>
      <c r="D349" s="731"/>
      <c r="E349" s="731"/>
      <c r="F349" s="731"/>
      <c r="G349" s="731"/>
      <c r="H349" s="731"/>
      <c r="I349" s="731"/>
      <c r="J349" s="731"/>
      <c r="K349" s="1068" t="str">
        <f t="shared" si="18"/>
        <v>↑</v>
      </c>
      <c r="L349" s="731"/>
      <c r="M349" s="731"/>
      <c r="N349" s="731"/>
      <c r="O349" s="731"/>
      <c r="P349" s="731"/>
      <c r="Q349" s="731"/>
      <c r="R349" s="745"/>
    </row>
    <row r="350" spans="2:18" ht="12" x14ac:dyDescent="0.4">
      <c r="B350" s="125">
        <v>40</v>
      </c>
      <c r="C350" s="736"/>
      <c r="D350" s="731"/>
      <c r="E350" s="731"/>
      <c r="F350" s="731"/>
      <c r="G350" s="731"/>
      <c r="H350" s="731"/>
      <c r="I350" s="731"/>
      <c r="J350" s="731"/>
      <c r="K350" s="1068" t="str">
        <f t="shared" si="18"/>
        <v>↑</v>
      </c>
      <c r="L350" s="731"/>
      <c r="M350" s="731"/>
      <c r="N350" s="731"/>
      <c r="O350" s="731"/>
      <c r="P350" s="731"/>
      <c r="Q350" s="731"/>
      <c r="R350" s="745"/>
    </row>
    <row r="351" spans="2:18" ht="12" x14ac:dyDescent="0.4">
      <c r="C351" s="736"/>
      <c r="D351" s="731"/>
      <c r="E351" s="731"/>
      <c r="F351" s="731"/>
      <c r="G351" s="731"/>
      <c r="H351" s="731"/>
      <c r="I351" s="731"/>
      <c r="J351" s="731"/>
      <c r="K351" s="1068" t="str">
        <f t="shared" si="18"/>
        <v>↑</v>
      </c>
      <c r="L351" s="731"/>
      <c r="M351" s="731"/>
      <c r="N351" s="731"/>
      <c r="O351" s="731"/>
      <c r="P351" s="731"/>
      <c r="Q351" s="731"/>
      <c r="R351" s="745"/>
    </row>
    <row r="352" spans="2:18" ht="12" x14ac:dyDescent="0.4">
      <c r="C352" s="736"/>
      <c r="D352" s="731"/>
      <c r="E352" s="731"/>
      <c r="F352" s="731"/>
      <c r="G352" s="731"/>
      <c r="H352" s="731"/>
      <c r="I352" s="731"/>
      <c r="J352" s="731"/>
      <c r="K352" s="1068" t="str">
        <f t="shared" si="18"/>
        <v>↑</v>
      </c>
      <c r="L352" s="731"/>
      <c r="M352" s="731"/>
      <c r="N352" s="731"/>
      <c r="O352" s="731"/>
      <c r="P352" s="731"/>
      <c r="Q352" s="731"/>
      <c r="R352" s="745"/>
    </row>
    <row r="353" spans="2:73" ht="11.25" thickBot="1" x14ac:dyDescent="0.45">
      <c r="C353" s="741"/>
      <c r="D353" s="742"/>
      <c r="E353" s="742"/>
      <c r="F353" s="742"/>
      <c r="G353" s="742"/>
      <c r="H353" s="742"/>
      <c r="I353" s="742"/>
      <c r="J353" s="742"/>
      <c r="K353" s="643" t="s">
        <v>508</v>
      </c>
      <c r="L353" s="742"/>
      <c r="M353" s="742"/>
      <c r="N353" s="742"/>
      <c r="O353" s="742"/>
      <c r="P353" s="742"/>
      <c r="Q353" s="742"/>
      <c r="R353" s="746"/>
    </row>
    <row r="357" spans="2:73" ht="15.75" x14ac:dyDescent="0.4">
      <c r="B357" s="122" t="s">
        <v>913</v>
      </c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3" t="s">
        <v>914</v>
      </c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</row>
    <row r="359" spans="2:73" ht="12" x14ac:dyDescent="0.4">
      <c r="C359" s="125">
        <v>0</v>
      </c>
      <c r="H359" s="125">
        <v>5</v>
      </c>
      <c r="M359" s="125">
        <v>10</v>
      </c>
      <c r="R359" s="125">
        <v>15</v>
      </c>
      <c r="BR359" s="272" t="s">
        <v>310</v>
      </c>
      <c r="BS359" s="272" t="s">
        <v>529</v>
      </c>
      <c r="BT359" s="272" t="s">
        <v>530</v>
      </c>
      <c r="BU359" s="272" t="s">
        <v>531</v>
      </c>
    </row>
    <row r="360" spans="2:73" ht="12" x14ac:dyDescent="0.4">
      <c r="B360" s="125">
        <v>0</v>
      </c>
      <c r="C360" s="506"/>
      <c r="D360" s="854"/>
      <c r="E360" s="853" t="s">
        <v>915</v>
      </c>
      <c r="F360" s="851"/>
      <c r="G360" s="851"/>
      <c r="H360" s="852"/>
      <c r="I360" s="499"/>
      <c r="J360" s="147"/>
      <c r="K360" s="147"/>
      <c r="L360" s="147"/>
      <c r="M360" s="147"/>
      <c r="N360" s="505"/>
      <c r="O360" s="724" t="s">
        <v>916</v>
      </c>
      <c r="P360" s="722"/>
      <c r="Q360" s="722"/>
      <c r="R360" s="722"/>
      <c r="S360" s="722"/>
      <c r="T360" s="723"/>
      <c r="U360" s="854"/>
      <c r="V360" s="506"/>
      <c r="BR360" s="1019" t="s">
        <v>915</v>
      </c>
      <c r="BS360" s="1019" t="s">
        <v>483</v>
      </c>
      <c r="BT360" s="1019" t="s">
        <v>616</v>
      </c>
      <c r="BU360" s="1019" t="s">
        <v>696</v>
      </c>
    </row>
    <row r="361" spans="2:73" ht="12" x14ac:dyDescent="0.4">
      <c r="C361" s="502"/>
      <c r="D361" s="606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8"/>
      <c r="V361" s="502"/>
      <c r="BR361" s="1019" t="s">
        <v>916</v>
      </c>
      <c r="BS361" s="1019" t="s">
        <v>475</v>
      </c>
      <c r="BT361" s="1019" t="s">
        <v>695</v>
      </c>
      <c r="BU361" s="1019" t="s">
        <v>668</v>
      </c>
    </row>
    <row r="362" spans="2:73" ht="12" x14ac:dyDescent="0.4">
      <c r="C362" s="503"/>
      <c r="D362" s="609"/>
      <c r="E362" s="610"/>
      <c r="F362" s="610"/>
      <c r="G362" s="610"/>
      <c r="H362" s="610"/>
      <c r="I362" s="610"/>
      <c r="J362" s="610"/>
      <c r="K362" s="610"/>
      <c r="L362" s="610"/>
      <c r="M362" s="610"/>
      <c r="N362" s="610"/>
      <c r="O362" s="610"/>
      <c r="P362" s="610"/>
      <c r="Q362" s="610"/>
      <c r="R362" s="610"/>
      <c r="S362" s="610"/>
      <c r="T362" s="610"/>
      <c r="U362" s="611"/>
      <c r="V362" s="503"/>
      <c r="BR362" s="1019" t="s">
        <v>854</v>
      </c>
      <c r="BS362" s="1019" t="s">
        <v>450</v>
      </c>
      <c r="BT362" s="1019" t="s">
        <v>539</v>
      </c>
      <c r="BU362" s="1019" t="s">
        <v>920</v>
      </c>
    </row>
    <row r="363" spans="2:73" ht="12" x14ac:dyDescent="0.4">
      <c r="C363" s="503"/>
      <c r="D363" s="609"/>
      <c r="E363" s="610"/>
      <c r="F363" s="610"/>
      <c r="G363" s="610"/>
      <c r="H363" s="610"/>
      <c r="I363" s="610"/>
      <c r="J363" s="610"/>
      <c r="K363" s="610"/>
      <c r="L363" s="610"/>
      <c r="M363" s="610"/>
      <c r="N363" s="610"/>
      <c r="O363" s="610"/>
      <c r="P363" s="610"/>
      <c r="Q363" s="610"/>
      <c r="R363" s="610"/>
      <c r="S363" s="610"/>
      <c r="T363" s="610"/>
      <c r="U363" s="611"/>
      <c r="V363" s="503"/>
      <c r="BR363" s="1019" t="s">
        <v>917</v>
      </c>
      <c r="BS363" s="1019" t="s">
        <v>450</v>
      </c>
      <c r="BT363" s="1019" t="s">
        <v>780</v>
      </c>
      <c r="BU363" s="1019" t="s">
        <v>921</v>
      </c>
    </row>
    <row r="364" spans="2:73" ht="12" x14ac:dyDescent="0.4">
      <c r="C364" s="503"/>
      <c r="D364" s="609"/>
      <c r="E364" s="610"/>
      <c r="F364" s="610"/>
      <c r="G364" s="610"/>
      <c r="H364" s="610"/>
      <c r="I364" s="795" t="s">
        <v>854</v>
      </c>
      <c r="J364" s="610"/>
      <c r="K364" s="610"/>
      <c r="L364" s="610"/>
      <c r="M364" s="610"/>
      <c r="N364" s="610"/>
      <c r="O364" s="610"/>
      <c r="P364" s="610"/>
      <c r="Q364" s="610"/>
      <c r="R364" s="610"/>
      <c r="S364" s="610"/>
      <c r="T364" s="610"/>
      <c r="U364" s="611"/>
      <c r="V364" s="503"/>
      <c r="BR364" s="1019" t="s">
        <v>448</v>
      </c>
      <c r="BS364" s="1019" t="s">
        <v>448</v>
      </c>
      <c r="BT364" s="1019" t="s">
        <v>586</v>
      </c>
      <c r="BU364" s="1019" t="s">
        <v>922</v>
      </c>
    </row>
    <row r="365" spans="2:73" ht="12" x14ac:dyDescent="0.4">
      <c r="B365" s="125">
        <v>5</v>
      </c>
      <c r="C365" s="503"/>
      <c r="D365" s="609"/>
      <c r="E365" s="610"/>
      <c r="F365" s="610"/>
      <c r="G365" s="610"/>
      <c r="H365" s="610"/>
      <c r="I365" s="610"/>
      <c r="J365" s="610"/>
      <c r="K365" s="610"/>
      <c r="L365" s="610"/>
      <c r="M365" s="610"/>
      <c r="N365" s="610"/>
      <c r="O365" s="258" t="s">
        <v>919</v>
      </c>
      <c r="P365" s="610"/>
      <c r="Q365" s="610"/>
      <c r="R365" s="610"/>
      <c r="S365" s="613"/>
      <c r="T365" s="613"/>
      <c r="U365" s="614"/>
      <c r="V365" s="507"/>
      <c r="BR365" s="1019" t="s">
        <v>918</v>
      </c>
      <c r="BS365" s="1019" t="s">
        <v>433</v>
      </c>
      <c r="BT365" s="1019" t="s">
        <v>923</v>
      </c>
      <c r="BU365" s="1019" t="s">
        <v>924</v>
      </c>
    </row>
    <row r="366" spans="2:73" ht="12" x14ac:dyDescent="0.4">
      <c r="C366" s="503"/>
      <c r="D366" s="609"/>
      <c r="E366" s="610"/>
      <c r="F366" s="610"/>
      <c r="G366" s="610"/>
      <c r="H366" s="610"/>
      <c r="I366" s="610"/>
      <c r="J366" s="610"/>
      <c r="K366" s="610"/>
      <c r="L366" s="613"/>
      <c r="M366" s="613"/>
      <c r="N366" s="610"/>
      <c r="O366" s="610"/>
      <c r="P366" s="610"/>
      <c r="Q366" s="610"/>
      <c r="R366" s="611"/>
      <c r="S366" s="404" t="s">
        <v>918</v>
      </c>
      <c r="T366" s="396"/>
      <c r="U366" s="396"/>
      <c r="V366" s="401"/>
      <c r="BR366" s="1019" t="s">
        <v>919</v>
      </c>
      <c r="BS366" s="1019" t="s">
        <v>489</v>
      </c>
      <c r="BT366" s="1019" t="s">
        <v>539</v>
      </c>
      <c r="BU366" s="1019" t="s">
        <v>925</v>
      </c>
    </row>
    <row r="367" spans="2:73" ht="12" x14ac:dyDescent="0.4">
      <c r="C367" s="503"/>
      <c r="D367" s="609"/>
      <c r="E367" s="610"/>
      <c r="F367" s="610"/>
      <c r="G367" s="610"/>
      <c r="H367" s="610"/>
      <c r="I367" s="258" t="s">
        <v>919</v>
      </c>
      <c r="J367" s="610"/>
      <c r="K367" s="611"/>
      <c r="L367" s="480" t="s">
        <v>448</v>
      </c>
      <c r="M367" s="477"/>
      <c r="N367" s="609"/>
      <c r="O367" s="610"/>
      <c r="P367" s="610"/>
      <c r="Q367" s="610"/>
      <c r="R367" s="611"/>
      <c r="S367" s="398"/>
      <c r="T367" s="1065" t="str">
        <f t="shared" ref="T367:T374" si="19">IF($AB$3="ON","↑","")</f>
        <v>↑</v>
      </c>
      <c r="U367" s="395"/>
      <c r="V367" s="402"/>
      <c r="BR367" s="1019" t="s">
        <v>919</v>
      </c>
      <c r="BS367" s="1019" t="s">
        <v>489</v>
      </c>
      <c r="BT367" s="1019" t="s">
        <v>539</v>
      </c>
      <c r="BU367" s="1019" t="s">
        <v>926</v>
      </c>
    </row>
    <row r="368" spans="2:73" ht="12" x14ac:dyDescent="0.4">
      <c r="C368" s="503"/>
      <c r="D368" s="609"/>
      <c r="E368" s="610"/>
      <c r="F368" s="610"/>
      <c r="G368" s="610"/>
      <c r="H368" s="610"/>
      <c r="I368" s="610"/>
      <c r="J368" s="610"/>
      <c r="K368" s="611"/>
      <c r="L368" s="475"/>
      <c r="M368" s="479"/>
      <c r="N368" s="609"/>
      <c r="O368" s="610"/>
      <c r="P368" s="610"/>
      <c r="Q368" s="610"/>
      <c r="R368" s="611"/>
      <c r="S368" s="398"/>
      <c r="T368" s="1065" t="str">
        <f t="shared" si="19"/>
        <v>↑</v>
      </c>
      <c r="U368" s="395"/>
      <c r="V368" s="402"/>
      <c r="BR368" s="1019" t="s">
        <v>919</v>
      </c>
      <c r="BS368" s="1019" t="s">
        <v>489</v>
      </c>
      <c r="BT368" s="1019" t="s">
        <v>539</v>
      </c>
      <c r="BU368" s="1019" t="s">
        <v>927</v>
      </c>
    </row>
    <row r="369" spans="2:73" ht="12" x14ac:dyDescent="0.4">
      <c r="C369" s="503"/>
      <c r="D369" s="609"/>
      <c r="E369" s="610"/>
      <c r="F369" s="610"/>
      <c r="G369" s="613"/>
      <c r="H369" s="613"/>
      <c r="I369" s="613"/>
      <c r="J369" s="613"/>
      <c r="K369" s="613"/>
      <c r="L369" s="855"/>
      <c r="M369" s="855"/>
      <c r="N369" s="613"/>
      <c r="O369" s="613"/>
      <c r="P369" s="613"/>
      <c r="Q369" s="610"/>
      <c r="R369" s="611"/>
      <c r="S369" s="398"/>
      <c r="T369" s="1065" t="str">
        <f t="shared" si="19"/>
        <v>↑</v>
      </c>
      <c r="U369" s="395"/>
      <c r="V369" s="402"/>
      <c r="BR369" s="1019" t="s">
        <v>96</v>
      </c>
      <c r="BS369" s="1019" t="s">
        <v>96</v>
      </c>
      <c r="BT369" s="1019" t="s">
        <v>539</v>
      </c>
      <c r="BU369" s="1019" t="s">
        <v>873</v>
      </c>
    </row>
    <row r="370" spans="2:73" ht="12" x14ac:dyDescent="0.4">
      <c r="B370" s="125">
        <v>10</v>
      </c>
      <c r="C370" s="503"/>
      <c r="D370" s="609"/>
      <c r="E370" s="610"/>
      <c r="F370" s="611"/>
      <c r="G370" s="393" t="s">
        <v>917</v>
      </c>
      <c r="H370" s="391"/>
      <c r="I370" s="391"/>
      <c r="J370" s="391"/>
      <c r="K370" s="391"/>
      <c r="L370" s="391"/>
      <c r="M370" s="391"/>
      <c r="N370" s="391"/>
      <c r="O370" s="391"/>
      <c r="P370" s="392"/>
      <c r="Q370" s="609"/>
      <c r="R370" s="611"/>
      <c r="S370" s="398"/>
      <c r="T370" s="1065" t="str">
        <f t="shared" si="19"/>
        <v>↑</v>
      </c>
      <c r="U370" s="395"/>
      <c r="V370" s="402"/>
      <c r="BR370" s="1019" t="s">
        <v>508</v>
      </c>
      <c r="BS370" s="1019" t="s">
        <v>486</v>
      </c>
      <c r="BT370" s="1019" t="s">
        <v>539</v>
      </c>
      <c r="BU370" s="1019" t="s">
        <v>708</v>
      </c>
    </row>
    <row r="371" spans="2:73" ht="12" x14ac:dyDescent="0.4">
      <c r="C371" s="503"/>
      <c r="D371" s="609"/>
      <c r="E371" s="610"/>
      <c r="F371" s="610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10"/>
      <c r="R371" s="611"/>
      <c r="S371" s="398"/>
      <c r="T371" s="1065" t="str">
        <f t="shared" si="19"/>
        <v>↑</v>
      </c>
      <c r="U371" s="395"/>
      <c r="V371" s="402"/>
    </row>
    <row r="372" spans="2:73" ht="12" x14ac:dyDescent="0.4">
      <c r="C372" s="503"/>
      <c r="D372" s="609"/>
      <c r="E372" s="610"/>
      <c r="F372" s="610"/>
      <c r="G372" s="195" t="s">
        <v>96</v>
      </c>
      <c r="H372" s="610"/>
      <c r="I372" s="610"/>
      <c r="J372" s="610"/>
      <c r="K372" s="610"/>
      <c r="L372" s="610"/>
      <c r="M372" s="610"/>
      <c r="N372" s="610"/>
      <c r="O372" s="610"/>
      <c r="P372" s="258" t="s">
        <v>919</v>
      </c>
      <c r="Q372" s="610"/>
      <c r="R372" s="611"/>
      <c r="S372" s="398"/>
      <c r="T372" s="1065" t="str">
        <f t="shared" si="19"/>
        <v>↑</v>
      </c>
      <c r="U372" s="395"/>
      <c r="V372" s="402"/>
    </row>
    <row r="373" spans="2:73" ht="12" x14ac:dyDescent="0.4">
      <c r="C373" s="503"/>
      <c r="D373" s="609"/>
      <c r="E373" s="610"/>
      <c r="F373" s="610"/>
      <c r="G373" s="610"/>
      <c r="H373" s="610"/>
      <c r="I373" s="610"/>
      <c r="J373" s="610"/>
      <c r="K373" s="610"/>
      <c r="L373" s="610"/>
      <c r="M373" s="610"/>
      <c r="N373" s="610"/>
      <c r="O373" s="610"/>
      <c r="P373" s="610"/>
      <c r="Q373" s="610"/>
      <c r="R373" s="611"/>
      <c r="S373" s="399"/>
      <c r="T373" s="1064" t="str">
        <f t="shared" si="19"/>
        <v>↑</v>
      </c>
      <c r="U373" s="400"/>
      <c r="V373" s="403"/>
    </row>
    <row r="374" spans="2:73" ht="12" x14ac:dyDescent="0.4">
      <c r="C374" s="856" t="s">
        <v>508</v>
      </c>
      <c r="D374" s="1056" t="str">
        <f t="shared" ref="D374:S374" si="20">IF($AB$3="ON","→","")</f>
        <v>→</v>
      </c>
      <c r="E374" s="1052" t="str">
        <f t="shared" si="20"/>
        <v>→</v>
      </c>
      <c r="F374" s="1052" t="str">
        <f t="shared" si="20"/>
        <v>→</v>
      </c>
      <c r="G374" s="1052" t="str">
        <f t="shared" si="20"/>
        <v>→</v>
      </c>
      <c r="H374" s="1052" t="str">
        <f t="shared" si="20"/>
        <v>→</v>
      </c>
      <c r="I374" s="1052" t="str">
        <f t="shared" si="20"/>
        <v>→</v>
      </c>
      <c r="J374" s="1052" t="str">
        <f t="shared" si="20"/>
        <v>→</v>
      </c>
      <c r="K374" s="1052" t="str">
        <f t="shared" si="20"/>
        <v>→</v>
      </c>
      <c r="L374" s="1052" t="str">
        <f t="shared" si="20"/>
        <v>→</v>
      </c>
      <c r="M374" s="1052" t="str">
        <f t="shared" si="20"/>
        <v>→</v>
      </c>
      <c r="N374" s="1052" t="str">
        <f t="shared" si="20"/>
        <v>→</v>
      </c>
      <c r="O374" s="1052" t="str">
        <f t="shared" si="20"/>
        <v>→</v>
      </c>
      <c r="P374" s="1052" t="str">
        <f t="shared" si="20"/>
        <v>→</v>
      </c>
      <c r="Q374" s="1052" t="str">
        <f t="shared" si="20"/>
        <v>→</v>
      </c>
      <c r="R374" s="1052" t="str">
        <f t="shared" si="20"/>
        <v>→</v>
      </c>
      <c r="S374" s="1055" t="str">
        <f t="shared" si="20"/>
        <v>→</v>
      </c>
      <c r="T374" s="1055" t="str">
        <f t="shared" si="19"/>
        <v>↑</v>
      </c>
      <c r="U374" s="607"/>
      <c r="V374" s="626"/>
    </row>
    <row r="375" spans="2:73" ht="11.25" thickBot="1" x14ac:dyDescent="0.45">
      <c r="B375" s="125">
        <v>15</v>
      </c>
      <c r="C375" s="504"/>
      <c r="D375" s="640"/>
      <c r="E375" s="621"/>
      <c r="F375" s="621"/>
      <c r="G375" s="621"/>
      <c r="H375" s="621"/>
      <c r="I375" s="621"/>
      <c r="J375" s="621"/>
      <c r="K375" s="621"/>
      <c r="L375" s="621"/>
      <c r="M375" s="621"/>
      <c r="N375" s="621"/>
      <c r="O375" s="621"/>
      <c r="P375" s="621"/>
      <c r="Q375" s="621"/>
      <c r="R375" s="621"/>
      <c r="S375" s="621"/>
      <c r="T375" s="621"/>
      <c r="U375" s="621"/>
      <c r="V375" s="625"/>
    </row>
    <row r="379" spans="2:73" ht="15.75" x14ac:dyDescent="0.4">
      <c r="B379" s="122" t="s">
        <v>928</v>
      </c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  <c r="AP379" s="121"/>
      <c r="AQ379" s="121"/>
      <c r="AR379" s="121"/>
      <c r="AS379" s="121"/>
      <c r="AT379" s="121"/>
      <c r="AU379" s="121"/>
      <c r="AV379" s="121"/>
      <c r="AW379" s="121"/>
      <c r="AX379" s="121"/>
      <c r="AY379" s="121"/>
      <c r="AZ379" s="121"/>
      <c r="BA379" s="121"/>
      <c r="BB379" s="121"/>
      <c r="BC379" s="121"/>
      <c r="BD379" s="121"/>
      <c r="BE379" s="121"/>
      <c r="BF379" s="121"/>
      <c r="BG379" s="121"/>
      <c r="BH379" s="121"/>
      <c r="BI379" s="121"/>
      <c r="BJ379" s="123" t="s">
        <v>929</v>
      </c>
      <c r="BK379" s="121"/>
      <c r="BL379" s="121"/>
      <c r="BM379" s="121"/>
      <c r="BN379" s="121"/>
      <c r="BO379" s="121"/>
      <c r="BP379" s="121"/>
      <c r="BQ379" s="121"/>
      <c r="BR379" s="121"/>
      <c r="BS379" s="121"/>
      <c r="BT379" s="121"/>
      <c r="BU379" s="121"/>
    </row>
    <row r="381" spans="2:73" ht="12" x14ac:dyDescent="0.4">
      <c r="C381" s="125">
        <v>0</v>
      </c>
      <c r="H381" s="125">
        <v>5</v>
      </c>
      <c r="M381" s="125">
        <v>10</v>
      </c>
      <c r="R381" s="125">
        <v>15</v>
      </c>
      <c r="BR381" s="272" t="s">
        <v>310</v>
      </c>
      <c r="BS381" s="272" t="s">
        <v>529</v>
      </c>
      <c r="BT381" s="272" t="s">
        <v>530</v>
      </c>
      <c r="BU381" s="272" t="s">
        <v>531</v>
      </c>
    </row>
    <row r="382" spans="2:73" ht="12" x14ac:dyDescent="0.4">
      <c r="B382" s="125">
        <v>0</v>
      </c>
      <c r="C382" s="146"/>
      <c r="D382" s="147"/>
      <c r="E382" s="147"/>
      <c r="F382" s="147"/>
      <c r="G382" s="147"/>
      <c r="H382" s="147"/>
      <c r="I382" s="147"/>
      <c r="J382" s="162"/>
      <c r="K382" s="162"/>
      <c r="L382" s="147"/>
      <c r="M382" s="147"/>
      <c r="N382" s="147"/>
      <c r="O382" s="147"/>
      <c r="P382" s="147"/>
      <c r="Q382" s="147"/>
      <c r="R382" s="147"/>
      <c r="S382" s="147"/>
      <c r="T382" s="147"/>
      <c r="U382" s="505"/>
      <c r="V382" s="506"/>
      <c r="BR382" s="1019" t="s">
        <v>456</v>
      </c>
      <c r="BS382" s="1019" t="s">
        <v>456</v>
      </c>
      <c r="BT382" s="1019" t="s">
        <v>822</v>
      </c>
      <c r="BU382" s="1019" t="s">
        <v>890</v>
      </c>
    </row>
    <row r="383" spans="2:73" ht="12" x14ac:dyDescent="0.4">
      <c r="C383" s="615"/>
      <c r="D383" s="607"/>
      <c r="E383" s="607"/>
      <c r="F383" s="607"/>
      <c r="G383" s="607"/>
      <c r="H383" s="607"/>
      <c r="I383" s="608"/>
      <c r="J383" s="638" t="s">
        <v>516</v>
      </c>
      <c r="K383" s="636"/>
      <c r="L383" s="606"/>
      <c r="M383" s="607"/>
      <c r="N383" s="607"/>
      <c r="O383" s="607"/>
      <c r="P383" s="607"/>
      <c r="Q383" s="855"/>
      <c r="R383" s="855"/>
      <c r="S383" s="855"/>
      <c r="T383" s="855"/>
      <c r="U383" s="608"/>
      <c r="V383" s="502"/>
      <c r="BR383" s="1019" t="s">
        <v>930</v>
      </c>
      <c r="BS383" s="1019" t="s">
        <v>450</v>
      </c>
      <c r="BT383" s="1019" t="s">
        <v>632</v>
      </c>
      <c r="BU383" s="1019" t="s">
        <v>743</v>
      </c>
    </row>
    <row r="384" spans="2:73" ht="12" x14ac:dyDescent="0.4">
      <c r="C384" s="616"/>
      <c r="D384" s="610"/>
      <c r="E384" s="610"/>
      <c r="F384" s="610"/>
      <c r="G384" s="610"/>
      <c r="H384" s="610"/>
      <c r="I384" s="611"/>
      <c r="J384" s="634"/>
      <c r="K384" s="637"/>
      <c r="L384" s="609"/>
      <c r="M384" s="610"/>
      <c r="N384" s="610"/>
      <c r="O384" s="610"/>
      <c r="P384" s="611"/>
      <c r="Q384" s="404" t="s">
        <v>931</v>
      </c>
      <c r="R384" s="396"/>
      <c r="S384" s="396"/>
      <c r="T384" s="401"/>
      <c r="U384" s="605"/>
      <c r="V384" s="503"/>
      <c r="BR384" s="1019" t="s">
        <v>931</v>
      </c>
      <c r="BS384" s="1019" t="s">
        <v>433</v>
      </c>
      <c r="BT384" s="1019" t="s">
        <v>923</v>
      </c>
      <c r="BU384" s="1019" t="s">
        <v>932</v>
      </c>
    </row>
    <row r="385" spans="2:73" ht="12" x14ac:dyDescent="0.4">
      <c r="C385" s="616"/>
      <c r="D385" s="610"/>
      <c r="E385" s="610"/>
      <c r="F385" s="610"/>
      <c r="G385" s="610"/>
      <c r="H385" s="610"/>
      <c r="I385" s="610"/>
      <c r="J385" s="607"/>
      <c r="K385" s="607"/>
      <c r="L385" s="610"/>
      <c r="M385" s="610"/>
      <c r="N385" s="610"/>
      <c r="O385" s="610"/>
      <c r="P385" s="611"/>
      <c r="Q385" s="398"/>
      <c r="R385" s="1065" t="str">
        <f>IF($AB$3="ON","↑","")</f>
        <v>↑</v>
      </c>
      <c r="S385" s="395"/>
      <c r="T385" s="402"/>
      <c r="U385" s="605"/>
      <c r="V385" s="503"/>
      <c r="BR385" s="1019" t="s">
        <v>516</v>
      </c>
      <c r="BS385" s="1019" t="s">
        <v>443</v>
      </c>
      <c r="BT385" s="1019" t="s">
        <v>586</v>
      </c>
      <c r="BU385" s="1019" t="s">
        <v>933</v>
      </c>
    </row>
    <row r="386" spans="2:73" ht="12" x14ac:dyDescent="0.4">
      <c r="C386" s="617"/>
      <c r="D386" s="610"/>
      <c r="E386" s="610"/>
      <c r="F386" s="610"/>
      <c r="G386" s="610"/>
      <c r="H386" s="610"/>
      <c r="I386" s="610"/>
      <c r="J386" s="610"/>
      <c r="K386" s="610"/>
      <c r="L386" s="610"/>
      <c r="M386" s="610"/>
      <c r="N386" s="610"/>
      <c r="O386" s="610"/>
      <c r="P386" s="611"/>
      <c r="Q386" s="398"/>
      <c r="R386" s="1065" t="str">
        <f>IF($AB$3="ON","↑","")</f>
        <v>↑</v>
      </c>
      <c r="S386" s="395"/>
      <c r="T386" s="402"/>
      <c r="U386" s="605"/>
      <c r="V386" s="503"/>
      <c r="BR386" s="1019" t="s">
        <v>508</v>
      </c>
      <c r="BS386" s="1019" t="s">
        <v>486</v>
      </c>
      <c r="BT386" s="1019" t="s">
        <v>539</v>
      </c>
      <c r="BU386" s="1019" t="s">
        <v>934</v>
      </c>
    </row>
    <row r="387" spans="2:73" ht="12" x14ac:dyDescent="0.4">
      <c r="B387" s="125">
        <v>5</v>
      </c>
      <c r="C387" s="841" t="s">
        <v>456</v>
      </c>
      <c r="D387" s="609"/>
      <c r="E387" s="610"/>
      <c r="F387" s="610"/>
      <c r="G387" s="610"/>
      <c r="H387" s="610"/>
      <c r="I387" s="610"/>
      <c r="J387" s="610"/>
      <c r="K387" s="610"/>
      <c r="L387" s="610"/>
      <c r="M387" s="610"/>
      <c r="N387" s="610"/>
      <c r="O387" s="610"/>
      <c r="P387" s="611"/>
      <c r="Q387" s="398"/>
      <c r="R387" s="1065" t="str">
        <f>IF($AB$3="ON","↑","")</f>
        <v>↑</v>
      </c>
      <c r="S387" s="395"/>
      <c r="T387" s="402"/>
      <c r="U387" s="605"/>
      <c r="V387" s="503"/>
    </row>
    <row r="388" spans="2:73" ht="12" x14ac:dyDescent="0.4">
      <c r="C388" s="839"/>
      <c r="D388" s="862" t="s">
        <v>508</v>
      </c>
      <c r="E388" s="1052" t="str">
        <f t="shared" ref="E388:Q388" si="21">IF($AB$3="ON","→","")</f>
        <v>→</v>
      </c>
      <c r="F388" s="1052" t="str">
        <f t="shared" si="21"/>
        <v>→</v>
      </c>
      <c r="G388" s="1052" t="str">
        <f t="shared" si="21"/>
        <v>→</v>
      </c>
      <c r="H388" s="1052" t="str">
        <f t="shared" si="21"/>
        <v>→</v>
      </c>
      <c r="I388" s="1052" t="str">
        <f t="shared" si="21"/>
        <v>→</v>
      </c>
      <c r="J388" s="1052" t="str">
        <f t="shared" si="21"/>
        <v>→</v>
      </c>
      <c r="K388" s="1052" t="str">
        <f t="shared" si="21"/>
        <v>→</v>
      </c>
      <c r="L388" s="1052" t="str">
        <f t="shared" si="21"/>
        <v>→</v>
      </c>
      <c r="M388" s="1052" t="str">
        <f t="shared" si="21"/>
        <v>→</v>
      </c>
      <c r="N388" s="1052" t="str">
        <f t="shared" si="21"/>
        <v>→</v>
      </c>
      <c r="O388" s="1052" t="str">
        <f t="shared" si="21"/>
        <v>→</v>
      </c>
      <c r="P388" s="1075" t="str">
        <f t="shared" si="21"/>
        <v>→</v>
      </c>
      <c r="Q388" s="1076" t="str">
        <f t="shared" si="21"/>
        <v>→</v>
      </c>
      <c r="R388" s="1065" t="str">
        <f>IF($AB$3="ON","↑","")</f>
        <v>↑</v>
      </c>
      <c r="S388" s="395"/>
      <c r="T388" s="402"/>
      <c r="U388" s="605"/>
      <c r="V388" s="503"/>
    </row>
    <row r="389" spans="2:73" x14ac:dyDescent="0.4">
      <c r="C389" s="839"/>
      <c r="D389" s="609"/>
      <c r="E389" s="610"/>
      <c r="F389" s="613"/>
      <c r="G389" s="613"/>
      <c r="H389" s="613"/>
      <c r="I389" s="610"/>
      <c r="J389" s="610"/>
      <c r="K389" s="610"/>
      <c r="L389" s="610"/>
      <c r="M389" s="610"/>
      <c r="N389" s="610"/>
      <c r="O389" s="610"/>
      <c r="P389" s="611"/>
      <c r="Q389" s="398"/>
      <c r="R389" s="395"/>
      <c r="S389" s="395"/>
      <c r="T389" s="402"/>
      <c r="U389" s="605"/>
      <c r="V389" s="503"/>
    </row>
    <row r="390" spans="2:73" x14ac:dyDescent="0.4">
      <c r="C390" s="840"/>
      <c r="D390" s="609"/>
      <c r="E390" s="611"/>
      <c r="F390" s="861" t="s">
        <v>930</v>
      </c>
      <c r="G390" s="387"/>
      <c r="H390" s="858"/>
      <c r="I390" s="609"/>
      <c r="J390" s="610"/>
      <c r="K390" s="610"/>
      <c r="L390" s="610"/>
      <c r="M390" s="610"/>
      <c r="N390" s="610"/>
      <c r="O390" s="610"/>
      <c r="P390" s="611"/>
      <c r="Q390" s="398"/>
      <c r="R390" s="395"/>
      <c r="S390" s="395"/>
      <c r="T390" s="402"/>
      <c r="U390" s="605"/>
      <c r="V390" s="503"/>
    </row>
    <row r="391" spans="2:73" x14ac:dyDescent="0.4">
      <c r="C391" s="615"/>
      <c r="D391" s="610"/>
      <c r="E391" s="611"/>
      <c r="F391" s="591"/>
      <c r="G391" s="590"/>
      <c r="H391" s="859"/>
      <c r="I391" s="609"/>
      <c r="J391" s="610"/>
      <c r="K391" s="610"/>
      <c r="L391" s="610"/>
      <c r="M391" s="610"/>
      <c r="N391" s="610"/>
      <c r="O391" s="610"/>
      <c r="P391" s="611"/>
      <c r="Q391" s="399"/>
      <c r="R391" s="400"/>
      <c r="S391" s="400"/>
      <c r="T391" s="403"/>
      <c r="U391" s="605"/>
      <c r="V391" s="503"/>
    </row>
    <row r="392" spans="2:73" x14ac:dyDescent="0.4">
      <c r="B392" s="125">
        <v>10</v>
      </c>
      <c r="C392" s="616"/>
      <c r="D392" s="610"/>
      <c r="E392" s="611"/>
      <c r="F392" s="592"/>
      <c r="G392" s="857"/>
      <c r="H392" s="860"/>
      <c r="I392" s="609"/>
      <c r="J392" s="610"/>
      <c r="K392" s="610"/>
      <c r="L392" s="610"/>
      <c r="M392" s="610"/>
      <c r="N392" s="610"/>
      <c r="O392" s="610"/>
      <c r="P392" s="610"/>
      <c r="Q392" s="607"/>
      <c r="R392" s="607"/>
      <c r="S392" s="607"/>
      <c r="T392" s="607"/>
      <c r="U392" s="611"/>
      <c r="V392" s="503"/>
    </row>
    <row r="393" spans="2:73" x14ac:dyDescent="0.4">
      <c r="C393" s="616"/>
      <c r="D393" s="610"/>
      <c r="E393" s="610"/>
      <c r="F393" s="607"/>
      <c r="G393" s="607"/>
      <c r="H393" s="607"/>
      <c r="I393" s="610"/>
      <c r="J393" s="610"/>
      <c r="K393" s="610"/>
      <c r="L393" s="610"/>
      <c r="M393" s="610"/>
      <c r="N393" s="610"/>
      <c r="O393" s="610"/>
      <c r="P393" s="610"/>
      <c r="Q393" s="610"/>
      <c r="R393" s="610"/>
      <c r="S393" s="610"/>
      <c r="T393" s="610"/>
      <c r="U393" s="611"/>
      <c r="V393" s="503"/>
    </row>
    <row r="394" spans="2:73" x14ac:dyDescent="0.4">
      <c r="C394" s="617"/>
      <c r="D394" s="613"/>
      <c r="E394" s="613"/>
      <c r="F394" s="613"/>
      <c r="G394" s="613"/>
      <c r="H394" s="613"/>
      <c r="I394" s="613"/>
      <c r="J394" s="613"/>
      <c r="K394" s="613"/>
      <c r="L394" s="613"/>
      <c r="M394" s="613"/>
      <c r="N394" s="613"/>
      <c r="O394" s="613"/>
      <c r="P394" s="613"/>
      <c r="Q394" s="613"/>
      <c r="R394" s="613"/>
      <c r="S394" s="613"/>
      <c r="T394" s="613"/>
      <c r="U394" s="614"/>
      <c r="V394" s="507"/>
    </row>
    <row r="395" spans="2:73" x14ac:dyDescent="0.4">
      <c r="C395" s="146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505"/>
      <c r="V395" s="506"/>
    </row>
    <row r="399" spans="2:73" ht="15.75" x14ac:dyDescent="0.4">
      <c r="B399" s="122" t="s">
        <v>935</v>
      </c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3" t="s">
        <v>936</v>
      </c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</row>
    <row r="400" spans="2:73" ht="12" x14ac:dyDescent="0.4">
      <c r="B400" s="124" t="s">
        <v>937</v>
      </c>
    </row>
    <row r="401" spans="2:73" ht="12.75" thickBot="1" x14ac:dyDescent="0.45">
      <c r="C401" s="125">
        <v>0</v>
      </c>
      <c r="H401" s="125">
        <v>5</v>
      </c>
      <c r="M401" s="125">
        <v>10</v>
      </c>
      <c r="R401" s="125">
        <v>15</v>
      </c>
      <c r="W401" s="125">
        <v>20</v>
      </c>
      <c r="AB401" s="125">
        <v>25</v>
      </c>
      <c r="AG401" s="125">
        <v>30</v>
      </c>
      <c r="BR401" s="272" t="s">
        <v>310</v>
      </c>
      <c r="BS401" s="272" t="s">
        <v>529</v>
      </c>
      <c r="BT401" s="272" t="s">
        <v>530</v>
      </c>
      <c r="BU401" s="272" t="s">
        <v>531</v>
      </c>
    </row>
    <row r="402" spans="2:73" ht="12" x14ac:dyDescent="0.4">
      <c r="B402" s="125">
        <v>0</v>
      </c>
      <c r="C402" s="865"/>
      <c r="D402" s="800"/>
      <c r="E402" s="800"/>
      <c r="F402" s="800"/>
      <c r="G402" s="800"/>
      <c r="H402" s="805"/>
      <c r="I402" s="360" t="s">
        <v>938</v>
      </c>
      <c r="J402" s="350"/>
      <c r="K402" s="350"/>
      <c r="L402" s="350"/>
      <c r="M402" s="350"/>
      <c r="N402" s="350"/>
      <c r="O402" s="350"/>
      <c r="P402" s="350"/>
      <c r="Q402" s="350"/>
      <c r="R402" s="350"/>
      <c r="S402" s="350"/>
      <c r="T402" s="350"/>
      <c r="U402" s="350"/>
      <c r="V402" s="350"/>
      <c r="W402" s="350"/>
      <c r="X402" s="350"/>
      <c r="Y402" s="350"/>
      <c r="Z402" s="350"/>
      <c r="AA402" s="350"/>
      <c r="AB402" s="350"/>
      <c r="AC402" s="350"/>
      <c r="AD402" s="350"/>
      <c r="AE402" s="350"/>
      <c r="AF402" s="357"/>
      <c r="AG402" s="768"/>
      <c r="AH402" s="618"/>
      <c r="AI402" s="618"/>
      <c r="AJ402" s="623"/>
      <c r="BR402" s="1019" t="s">
        <v>938</v>
      </c>
      <c r="BS402" s="1019" t="s">
        <v>425</v>
      </c>
      <c r="BT402" s="1019" t="s">
        <v>941</v>
      </c>
      <c r="BU402" s="1019" t="s">
        <v>942</v>
      </c>
    </row>
    <row r="403" spans="2:73" ht="12" x14ac:dyDescent="0.4">
      <c r="C403" s="444" t="s">
        <v>650</v>
      </c>
      <c r="D403" s="442"/>
      <c r="E403" s="442"/>
      <c r="F403" s="442"/>
      <c r="G403" s="442"/>
      <c r="H403" s="443"/>
      <c r="I403" s="425"/>
      <c r="J403" s="349"/>
      <c r="K403" s="349"/>
      <c r="L403" s="349"/>
      <c r="M403" s="349"/>
      <c r="N403" s="349"/>
      <c r="O403" s="349"/>
      <c r="P403" s="349"/>
      <c r="Q403" s="349"/>
      <c r="R403" s="349"/>
      <c r="S403" s="349"/>
      <c r="T403" s="349"/>
      <c r="U403" s="349"/>
      <c r="V403" s="349"/>
      <c r="W403" s="349"/>
      <c r="X403" s="349"/>
      <c r="Y403" s="349"/>
      <c r="Z403" s="349"/>
      <c r="AA403" s="349"/>
      <c r="AB403" s="349"/>
      <c r="AC403" s="349"/>
      <c r="AD403" s="349"/>
      <c r="AE403" s="349"/>
      <c r="AF403" s="358"/>
      <c r="AG403" s="609"/>
      <c r="AH403" s="610"/>
      <c r="AI403" s="610"/>
      <c r="AJ403" s="624"/>
      <c r="BR403" s="1019" t="s">
        <v>939</v>
      </c>
      <c r="BS403" s="1019" t="s">
        <v>469</v>
      </c>
      <c r="BT403" s="1019" t="s">
        <v>632</v>
      </c>
      <c r="BU403" s="1019" t="s">
        <v>669</v>
      </c>
    </row>
    <row r="404" spans="2:73" ht="12" x14ac:dyDescent="0.4">
      <c r="C404" s="615"/>
      <c r="D404" s="866" t="s">
        <v>465</v>
      </c>
      <c r="E404" s="607"/>
      <c r="F404" s="607"/>
      <c r="G404" s="607"/>
      <c r="H404" s="608"/>
      <c r="I404" s="354"/>
      <c r="J404" s="349"/>
      <c r="K404" s="349"/>
      <c r="L404" s="349"/>
      <c r="M404" s="349"/>
      <c r="N404" s="349"/>
      <c r="O404" s="349"/>
      <c r="P404" s="349"/>
      <c r="Q404" s="349"/>
      <c r="R404" s="349"/>
      <c r="S404" s="349"/>
      <c r="T404" s="349"/>
      <c r="U404" s="349"/>
      <c r="V404" s="349"/>
      <c r="W404" s="349"/>
      <c r="X404" s="349"/>
      <c r="Y404" s="349"/>
      <c r="Z404" s="349"/>
      <c r="AA404" s="349"/>
      <c r="AB404" s="349"/>
      <c r="AC404" s="349"/>
      <c r="AD404" s="349"/>
      <c r="AE404" s="349"/>
      <c r="AF404" s="358"/>
      <c r="AG404" s="609"/>
      <c r="AH404" s="610"/>
      <c r="AI404" s="610"/>
      <c r="AJ404" s="624"/>
      <c r="BR404" s="1019" t="s">
        <v>465</v>
      </c>
      <c r="BS404" s="1019" t="s">
        <v>465</v>
      </c>
      <c r="BT404" s="1019" t="s">
        <v>539</v>
      </c>
      <c r="BU404" s="1019" t="s">
        <v>943</v>
      </c>
    </row>
    <row r="405" spans="2:73" ht="12" x14ac:dyDescent="0.4">
      <c r="C405" s="616"/>
      <c r="D405" s="610"/>
      <c r="E405" s="864" t="s">
        <v>465</v>
      </c>
      <c r="F405" s="610"/>
      <c r="G405" s="610"/>
      <c r="H405" s="611"/>
      <c r="I405" s="361"/>
      <c r="J405" s="362"/>
      <c r="K405" s="362"/>
      <c r="L405" s="362"/>
      <c r="M405" s="362"/>
      <c r="N405" s="362"/>
      <c r="O405" s="362"/>
      <c r="P405" s="362"/>
      <c r="Q405" s="362"/>
      <c r="R405" s="362"/>
      <c r="S405" s="362"/>
      <c r="T405" s="362"/>
      <c r="U405" s="362"/>
      <c r="V405" s="362"/>
      <c r="W405" s="362"/>
      <c r="X405" s="362"/>
      <c r="Y405" s="362"/>
      <c r="Z405" s="362"/>
      <c r="AA405" s="362"/>
      <c r="AB405" s="362"/>
      <c r="AC405" s="362"/>
      <c r="AD405" s="362"/>
      <c r="AE405" s="362"/>
      <c r="AF405" s="363"/>
      <c r="AG405" s="609"/>
      <c r="AH405" s="610"/>
      <c r="AI405" s="610"/>
      <c r="AJ405" s="624"/>
      <c r="BR405" s="1019" t="s">
        <v>465</v>
      </c>
      <c r="BS405" s="1019" t="s">
        <v>465</v>
      </c>
      <c r="BT405" s="1019" t="s">
        <v>539</v>
      </c>
      <c r="BU405" s="1019" t="s">
        <v>755</v>
      </c>
    </row>
    <row r="406" spans="2:73" ht="12" x14ac:dyDescent="0.4">
      <c r="C406" s="616"/>
      <c r="D406" s="610"/>
      <c r="E406" s="610"/>
      <c r="F406" s="613"/>
      <c r="G406" s="613"/>
      <c r="H406" s="614"/>
      <c r="I406" s="871" t="s">
        <v>940</v>
      </c>
      <c r="J406" s="801"/>
      <c r="K406" s="801"/>
      <c r="L406" s="801"/>
      <c r="M406" s="801"/>
      <c r="N406" s="801"/>
      <c r="O406" s="801"/>
      <c r="P406" s="801"/>
      <c r="Q406" s="801"/>
      <c r="R406" s="801"/>
      <c r="S406" s="801"/>
      <c r="T406" s="801"/>
      <c r="U406" s="801"/>
      <c r="V406" s="801"/>
      <c r="W406" s="801"/>
      <c r="X406" s="801"/>
      <c r="Y406" s="801"/>
      <c r="Z406" s="801"/>
      <c r="AA406" s="801"/>
      <c r="AB406" s="801"/>
      <c r="AC406" s="801"/>
      <c r="AD406" s="801"/>
      <c r="AE406" s="801"/>
      <c r="AF406" s="869"/>
      <c r="AG406" s="609"/>
      <c r="AH406" s="610"/>
      <c r="AI406" s="610"/>
      <c r="AJ406" s="624"/>
      <c r="BR406" s="1019" t="s">
        <v>650</v>
      </c>
      <c r="BS406" s="1019" t="s">
        <v>435</v>
      </c>
      <c r="BT406" s="1019" t="s">
        <v>695</v>
      </c>
      <c r="BU406" s="1019" t="s">
        <v>944</v>
      </c>
    </row>
    <row r="407" spans="2:73" ht="12" x14ac:dyDescent="0.4">
      <c r="B407" s="125">
        <v>5</v>
      </c>
      <c r="C407" s="872" t="s">
        <v>508</v>
      </c>
      <c r="D407" s="1052" t="str">
        <f>IF($AB$3="ON","→","")</f>
        <v>→</v>
      </c>
      <c r="E407" s="1075" t="str">
        <f>IF($AB$3="ON","→","")</f>
        <v>→</v>
      </c>
      <c r="F407" s="850" t="s">
        <v>939</v>
      </c>
      <c r="G407" s="845"/>
      <c r="H407" s="867"/>
      <c r="I407" s="364"/>
      <c r="J407" s="870"/>
      <c r="K407" s="870"/>
      <c r="L407" s="1077" t="str">
        <f t="shared" ref="L407:AJ407" si="22">IF($AB$3="ON","→","")</f>
        <v>→</v>
      </c>
      <c r="M407" s="1077" t="str">
        <f t="shared" si="22"/>
        <v>→</v>
      </c>
      <c r="N407" s="1077" t="str">
        <f t="shared" si="22"/>
        <v>→</v>
      </c>
      <c r="O407" s="1077" t="str">
        <f t="shared" si="22"/>
        <v>→</v>
      </c>
      <c r="P407" s="1077" t="str">
        <f t="shared" si="22"/>
        <v>→</v>
      </c>
      <c r="Q407" s="1077" t="str">
        <f t="shared" si="22"/>
        <v>→</v>
      </c>
      <c r="R407" s="1077" t="str">
        <f t="shared" si="22"/>
        <v>→</v>
      </c>
      <c r="S407" s="1077" t="str">
        <f t="shared" si="22"/>
        <v>→</v>
      </c>
      <c r="T407" s="1077" t="str">
        <f t="shared" si="22"/>
        <v>→</v>
      </c>
      <c r="U407" s="1077" t="str">
        <f t="shared" si="22"/>
        <v>→</v>
      </c>
      <c r="V407" s="1077" t="str">
        <f t="shared" si="22"/>
        <v>→</v>
      </c>
      <c r="W407" s="1077" t="str">
        <f t="shared" si="22"/>
        <v>→</v>
      </c>
      <c r="X407" s="1077" t="str">
        <f t="shared" si="22"/>
        <v>→</v>
      </c>
      <c r="Y407" s="1077" t="str">
        <f t="shared" si="22"/>
        <v>→</v>
      </c>
      <c r="Z407" s="1077" t="str">
        <f t="shared" si="22"/>
        <v>→</v>
      </c>
      <c r="AA407" s="1077" t="str">
        <f t="shared" si="22"/>
        <v>→</v>
      </c>
      <c r="AB407" s="1077" t="str">
        <f t="shared" si="22"/>
        <v>→</v>
      </c>
      <c r="AC407" s="1077" t="str">
        <f t="shared" si="22"/>
        <v>→</v>
      </c>
      <c r="AD407" s="1077" t="str">
        <f t="shared" si="22"/>
        <v>→</v>
      </c>
      <c r="AE407" s="1077" t="str">
        <f t="shared" si="22"/>
        <v>→</v>
      </c>
      <c r="AF407" s="1078" t="str">
        <f t="shared" si="22"/>
        <v>→</v>
      </c>
      <c r="AG407" s="1056" t="str">
        <f t="shared" si="22"/>
        <v>→</v>
      </c>
      <c r="AH407" s="1052" t="str">
        <f t="shared" si="22"/>
        <v>→</v>
      </c>
      <c r="AI407" s="1052" t="str">
        <f t="shared" si="22"/>
        <v>→</v>
      </c>
      <c r="AJ407" s="1079" t="str">
        <f t="shared" si="22"/>
        <v>→</v>
      </c>
      <c r="BR407" s="1019" t="s">
        <v>940</v>
      </c>
      <c r="BS407" s="1019" t="s">
        <v>449</v>
      </c>
      <c r="BT407" s="1019" t="s">
        <v>945</v>
      </c>
      <c r="BU407" s="1019" t="s">
        <v>920</v>
      </c>
    </row>
    <row r="408" spans="2:73" ht="12" x14ac:dyDescent="0.4">
      <c r="C408" s="616"/>
      <c r="D408" s="610"/>
      <c r="E408" s="611"/>
      <c r="F408" s="843"/>
      <c r="G408" s="842"/>
      <c r="H408" s="863"/>
      <c r="I408" s="868"/>
      <c r="J408" s="348"/>
      <c r="K408" s="348"/>
      <c r="L408" s="348"/>
      <c r="M408" s="348"/>
      <c r="N408" s="348"/>
      <c r="O408" s="348"/>
      <c r="P408" s="348"/>
      <c r="Q408" s="348"/>
      <c r="R408" s="348"/>
      <c r="S408" s="348"/>
      <c r="T408" s="348"/>
      <c r="U408" s="348"/>
      <c r="V408" s="348"/>
      <c r="W408" s="348"/>
      <c r="X408" s="348"/>
      <c r="Y408" s="348"/>
      <c r="Z408" s="348"/>
      <c r="AA408" s="348"/>
      <c r="AB408" s="348"/>
      <c r="AC408" s="348"/>
      <c r="AD408" s="348"/>
      <c r="AE408" s="348"/>
      <c r="AF408" s="430"/>
      <c r="AG408" s="609"/>
      <c r="AH408" s="610"/>
      <c r="AI408" s="610"/>
      <c r="AJ408" s="624"/>
      <c r="BR408" s="1019" t="s">
        <v>508</v>
      </c>
      <c r="BS408" s="1019" t="s">
        <v>486</v>
      </c>
      <c r="BT408" s="1019" t="s">
        <v>539</v>
      </c>
      <c r="BU408" s="1019" t="s">
        <v>890</v>
      </c>
    </row>
    <row r="409" spans="2:73" x14ac:dyDescent="0.4">
      <c r="C409" s="616"/>
      <c r="D409" s="610"/>
      <c r="E409" s="611"/>
      <c r="F409" s="846"/>
      <c r="G409" s="847"/>
      <c r="H409" s="849"/>
      <c r="I409" s="425"/>
      <c r="J409" s="349"/>
      <c r="K409" s="349"/>
      <c r="L409" s="349"/>
      <c r="M409" s="349"/>
      <c r="N409" s="349"/>
      <c r="O409" s="349"/>
      <c r="P409" s="349"/>
      <c r="Q409" s="349"/>
      <c r="R409" s="349"/>
      <c r="S409" s="349"/>
      <c r="T409" s="349"/>
      <c r="U409" s="349"/>
      <c r="V409" s="349"/>
      <c r="W409" s="349"/>
      <c r="X409" s="349"/>
      <c r="Y409" s="349"/>
      <c r="Z409" s="349"/>
      <c r="AA409" s="349"/>
      <c r="AB409" s="349"/>
      <c r="AC409" s="349"/>
      <c r="AD409" s="349"/>
      <c r="AE409" s="349"/>
      <c r="AF409" s="358"/>
      <c r="AG409" s="609"/>
      <c r="AH409" s="610"/>
      <c r="AI409" s="610"/>
      <c r="AJ409" s="624"/>
    </row>
    <row r="410" spans="2:73" x14ac:dyDescent="0.4">
      <c r="C410" s="616"/>
      <c r="D410" s="610"/>
      <c r="E410" s="610"/>
      <c r="F410" s="607"/>
      <c r="G410" s="607"/>
      <c r="H410" s="608"/>
      <c r="I410" s="354"/>
      <c r="J410" s="349"/>
      <c r="K410" s="349"/>
      <c r="L410" s="349"/>
      <c r="M410" s="349"/>
      <c r="N410" s="349"/>
      <c r="O410" s="349"/>
      <c r="P410" s="349"/>
      <c r="Q410" s="349"/>
      <c r="R410" s="349"/>
      <c r="S410" s="349"/>
      <c r="T410" s="349"/>
      <c r="U410" s="349"/>
      <c r="V410" s="349"/>
      <c r="W410" s="349"/>
      <c r="X410" s="349"/>
      <c r="Y410" s="349"/>
      <c r="Z410" s="349"/>
      <c r="AA410" s="349"/>
      <c r="AB410" s="349"/>
      <c r="AC410" s="349"/>
      <c r="AD410" s="349"/>
      <c r="AE410" s="349"/>
      <c r="AF410" s="358"/>
      <c r="AG410" s="609"/>
      <c r="AH410" s="610"/>
      <c r="AI410" s="610"/>
      <c r="AJ410" s="624"/>
    </row>
    <row r="411" spans="2:73" ht="11.25" thickBot="1" x14ac:dyDescent="0.45">
      <c r="C411" s="620"/>
      <c r="D411" s="621"/>
      <c r="E411" s="621"/>
      <c r="F411" s="621"/>
      <c r="G411" s="621"/>
      <c r="H411" s="622"/>
      <c r="I411" s="355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9"/>
      <c r="AG411" s="640"/>
      <c r="AH411" s="621"/>
      <c r="AI411" s="621"/>
      <c r="AJ411" s="625"/>
    </row>
    <row r="415" spans="2:73" ht="15.75" x14ac:dyDescent="0.4">
      <c r="B415" s="122" t="s">
        <v>946</v>
      </c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  <c r="AL415" s="121"/>
      <c r="AM415" s="121"/>
      <c r="AN415" s="121"/>
      <c r="AO415" s="121"/>
      <c r="AP415" s="121"/>
      <c r="AQ415" s="121"/>
      <c r="AR415" s="121"/>
      <c r="AS415" s="121"/>
      <c r="AT415" s="121"/>
      <c r="AU415" s="121"/>
      <c r="AV415" s="121"/>
      <c r="AW415" s="121"/>
      <c r="AX415" s="121"/>
      <c r="AY415" s="121"/>
      <c r="AZ415" s="121"/>
      <c r="BA415" s="121"/>
      <c r="BB415" s="121"/>
      <c r="BC415" s="121"/>
      <c r="BD415" s="121"/>
      <c r="BE415" s="121"/>
      <c r="BF415" s="121"/>
      <c r="BG415" s="121"/>
      <c r="BH415" s="121"/>
      <c r="BI415" s="121"/>
      <c r="BJ415" s="123" t="s">
        <v>947</v>
      </c>
      <c r="BK415" s="121"/>
      <c r="BL415" s="121"/>
      <c r="BM415" s="121"/>
      <c r="BN415" s="121"/>
      <c r="BO415" s="121"/>
      <c r="BP415" s="121"/>
      <c r="BQ415" s="121"/>
      <c r="BR415" s="121"/>
      <c r="BS415" s="121"/>
      <c r="BT415" s="121"/>
      <c r="BU415" s="121"/>
    </row>
    <row r="417" spans="2:73" ht="12" x14ac:dyDescent="0.4">
      <c r="C417" s="125">
        <v>0</v>
      </c>
      <c r="H417" s="125">
        <v>5</v>
      </c>
      <c r="M417" s="125">
        <v>10</v>
      </c>
      <c r="BR417" s="272" t="s">
        <v>310</v>
      </c>
      <c r="BS417" s="272" t="s">
        <v>529</v>
      </c>
      <c r="BT417" s="272" t="s">
        <v>530</v>
      </c>
      <c r="BU417" s="272" t="s">
        <v>531</v>
      </c>
    </row>
    <row r="418" spans="2:73" ht="12" x14ac:dyDescent="0.4">
      <c r="B418" s="125">
        <v>0</v>
      </c>
      <c r="C418" s="444" t="s">
        <v>948</v>
      </c>
      <c r="D418" s="442"/>
      <c r="E418" s="442"/>
      <c r="F418" s="442"/>
      <c r="G418" s="442"/>
      <c r="H418" s="813"/>
      <c r="I418" s="813"/>
      <c r="J418" s="813"/>
      <c r="K418" s="442"/>
      <c r="L418" s="442"/>
      <c r="M418" s="442"/>
      <c r="N418" s="443"/>
      <c r="BR418" s="1019" t="s">
        <v>948</v>
      </c>
      <c r="BS418" s="1019" t="s">
        <v>435</v>
      </c>
      <c r="BT418" s="1019" t="s">
        <v>886</v>
      </c>
      <c r="BU418" s="1019" t="s">
        <v>753</v>
      </c>
    </row>
    <row r="419" spans="2:73" ht="12" x14ac:dyDescent="0.4">
      <c r="C419" s="735"/>
      <c r="D419" s="728"/>
      <c r="E419" s="728"/>
      <c r="F419" s="728"/>
      <c r="G419" s="729"/>
      <c r="H419" s="631" t="s">
        <v>949</v>
      </c>
      <c r="I419" s="629"/>
      <c r="J419" s="630"/>
      <c r="K419" s="727"/>
      <c r="L419" s="728"/>
      <c r="M419" s="424" t="s">
        <v>770</v>
      </c>
      <c r="N419" s="748"/>
      <c r="BR419" s="1019" t="s">
        <v>949</v>
      </c>
      <c r="BS419" s="1019" t="s">
        <v>493</v>
      </c>
      <c r="BT419" s="1019" t="s">
        <v>545</v>
      </c>
      <c r="BU419" s="1019" t="s">
        <v>951</v>
      </c>
    </row>
    <row r="420" spans="2:73" ht="12" x14ac:dyDescent="0.4">
      <c r="C420" s="736"/>
      <c r="D420" s="731"/>
      <c r="E420" s="873" t="s">
        <v>950</v>
      </c>
      <c r="F420" s="731"/>
      <c r="G420" s="731"/>
      <c r="H420" s="1069" t="str">
        <f t="shared" ref="H420:H426" si="23">IF($AB$3="ON","↑","")</f>
        <v>↑</v>
      </c>
      <c r="I420" s="728"/>
      <c r="J420" s="728"/>
      <c r="K420" s="731"/>
      <c r="L420" s="731"/>
      <c r="M420" s="731"/>
      <c r="N420" s="745"/>
      <c r="BR420" s="1019" t="s">
        <v>950</v>
      </c>
      <c r="BS420" s="1019" t="s">
        <v>443</v>
      </c>
      <c r="BT420" s="1019" t="s">
        <v>539</v>
      </c>
      <c r="BU420" s="1019" t="s">
        <v>630</v>
      </c>
    </row>
    <row r="421" spans="2:73" ht="12" x14ac:dyDescent="0.4">
      <c r="C421" s="736"/>
      <c r="D421" s="731"/>
      <c r="E421" s="731"/>
      <c r="F421" s="731"/>
      <c r="G421" s="731"/>
      <c r="H421" s="1068" t="str">
        <f t="shared" si="23"/>
        <v>↑</v>
      </c>
      <c r="I421" s="731"/>
      <c r="J421" s="731"/>
      <c r="K421" s="731"/>
      <c r="L421" s="731"/>
      <c r="M421" s="731"/>
      <c r="N421" s="745"/>
      <c r="BR421" s="1019" t="s">
        <v>508</v>
      </c>
      <c r="BS421" s="1019" t="s">
        <v>486</v>
      </c>
      <c r="BT421" s="1019" t="s">
        <v>539</v>
      </c>
      <c r="BU421" s="1019" t="s">
        <v>952</v>
      </c>
    </row>
    <row r="422" spans="2:73" ht="12" x14ac:dyDescent="0.4">
      <c r="C422" s="736"/>
      <c r="D422" s="731"/>
      <c r="E422" s="731"/>
      <c r="F422" s="731"/>
      <c r="G422" s="731"/>
      <c r="H422" s="1068" t="str">
        <f t="shared" si="23"/>
        <v>↑</v>
      </c>
      <c r="I422" s="731"/>
      <c r="J422" s="731"/>
      <c r="K422" s="731"/>
      <c r="L422" s="731"/>
      <c r="M422" s="731"/>
      <c r="N422" s="745"/>
    </row>
    <row r="423" spans="2:73" ht="12" x14ac:dyDescent="0.4">
      <c r="B423" s="125">
        <v>5</v>
      </c>
      <c r="C423" s="736"/>
      <c r="D423" s="731"/>
      <c r="E423" s="731"/>
      <c r="F423" s="731"/>
      <c r="G423" s="731"/>
      <c r="H423" s="1068" t="str">
        <f t="shared" si="23"/>
        <v>↑</v>
      </c>
      <c r="I423" s="731"/>
      <c r="J423" s="731"/>
      <c r="K423" s="731"/>
      <c r="L423" s="731"/>
      <c r="M423" s="731"/>
      <c r="N423" s="745"/>
    </row>
    <row r="424" spans="2:73" ht="12" x14ac:dyDescent="0.4">
      <c r="C424" s="736"/>
      <c r="D424" s="731"/>
      <c r="E424" s="731"/>
      <c r="F424" s="731"/>
      <c r="G424" s="731"/>
      <c r="H424" s="1068" t="str">
        <f t="shared" si="23"/>
        <v>↑</v>
      </c>
      <c r="I424" s="731"/>
      <c r="J424" s="731"/>
      <c r="K424" s="731"/>
      <c r="L424" s="731"/>
      <c r="M424" s="731"/>
      <c r="N424" s="745"/>
    </row>
    <row r="425" spans="2:73" ht="12" x14ac:dyDescent="0.4">
      <c r="C425" s="736"/>
      <c r="D425" s="731"/>
      <c r="E425" s="731"/>
      <c r="F425" s="731"/>
      <c r="G425" s="731"/>
      <c r="H425" s="1068" t="str">
        <f t="shared" si="23"/>
        <v>↑</v>
      </c>
      <c r="I425" s="731"/>
      <c r="J425" s="731"/>
      <c r="K425" s="731"/>
      <c r="L425" s="731"/>
      <c r="M425" s="731"/>
      <c r="N425" s="745"/>
    </row>
    <row r="426" spans="2:73" ht="12" x14ac:dyDescent="0.4">
      <c r="C426" s="736"/>
      <c r="D426" s="731"/>
      <c r="E426" s="731"/>
      <c r="F426" s="731"/>
      <c r="G426" s="731"/>
      <c r="H426" s="1068" t="str">
        <f t="shared" si="23"/>
        <v>↑</v>
      </c>
      <c r="I426" s="731"/>
      <c r="J426" s="731"/>
      <c r="K426" s="731"/>
      <c r="L426" s="731"/>
      <c r="M426" s="731"/>
      <c r="N426" s="745"/>
    </row>
    <row r="427" spans="2:73" ht="11.25" thickBot="1" x14ac:dyDescent="0.45">
      <c r="C427" s="741"/>
      <c r="D427" s="742"/>
      <c r="E427" s="742"/>
      <c r="F427" s="742"/>
      <c r="G427" s="742"/>
      <c r="H427" s="643" t="s">
        <v>508</v>
      </c>
      <c r="I427" s="742"/>
      <c r="J427" s="742"/>
      <c r="K427" s="742"/>
      <c r="L427" s="742"/>
      <c r="M427" s="742"/>
      <c r="N427" s="746"/>
    </row>
    <row r="431" spans="2:73" ht="15.75" x14ac:dyDescent="0.4">
      <c r="B431" s="122" t="s">
        <v>953</v>
      </c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3" t="s">
        <v>954</v>
      </c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</row>
    <row r="432" spans="2:73" ht="12" x14ac:dyDescent="0.4">
      <c r="B432" s="124" t="s">
        <v>955</v>
      </c>
    </row>
    <row r="433" spans="2:73" ht="12.75" thickBot="1" x14ac:dyDescent="0.45">
      <c r="C433" s="125">
        <v>0</v>
      </c>
      <c r="H433" s="125">
        <v>5</v>
      </c>
      <c r="M433" s="125">
        <v>10</v>
      </c>
      <c r="R433" s="125">
        <v>15</v>
      </c>
      <c r="W433" s="125">
        <v>20</v>
      </c>
      <c r="AB433" s="125">
        <v>25</v>
      </c>
      <c r="AG433" s="125">
        <v>30</v>
      </c>
      <c r="AL433" s="125">
        <v>35</v>
      </c>
      <c r="BR433" s="272" t="s">
        <v>310</v>
      </c>
      <c r="BS433" s="272" t="s">
        <v>529</v>
      </c>
      <c r="BT433" s="272" t="s">
        <v>530</v>
      </c>
      <c r="BU433" s="272" t="s">
        <v>531</v>
      </c>
    </row>
    <row r="434" spans="2:73" ht="12" x14ac:dyDescent="0.4">
      <c r="B434" s="125">
        <v>0</v>
      </c>
      <c r="C434" s="738"/>
      <c r="D434" s="739"/>
      <c r="E434" s="739"/>
      <c r="F434" s="739"/>
      <c r="G434" s="739"/>
      <c r="H434" s="739"/>
      <c r="I434" s="739"/>
      <c r="J434" s="740"/>
      <c r="K434" s="360" t="s">
        <v>956</v>
      </c>
      <c r="L434" s="350"/>
      <c r="M434" s="350"/>
      <c r="N434" s="350"/>
      <c r="O434" s="350"/>
      <c r="P434" s="350"/>
      <c r="Q434" s="350"/>
      <c r="R434" s="350"/>
      <c r="S434" s="350"/>
      <c r="T434" s="350"/>
      <c r="U434" s="350"/>
      <c r="V434" s="350"/>
      <c r="W434" s="350"/>
      <c r="X434" s="350"/>
      <c r="Y434" s="350"/>
      <c r="Z434" s="350"/>
      <c r="AA434" s="350"/>
      <c r="AB434" s="357"/>
      <c r="AC434" s="766"/>
      <c r="AD434" s="876"/>
      <c r="AE434" s="876"/>
      <c r="AF434" s="740"/>
      <c r="AG434" s="444" t="s">
        <v>948</v>
      </c>
      <c r="AH434" s="442"/>
      <c r="AI434" s="442"/>
      <c r="AJ434" s="442"/>
      <c r="AK434" s="442"/>
      <c r="AL434" s="443"/>
      <c r="BR434" s="1019" t="s">
        <v>956</v>
      </c>
      <c r="BS434" s="1019" t="s">
        <v>425</v>
      </c>
      <c r="BT434" s="1019" t="s">
        <v>958</v>
      </c>
      <c r="BU434" s="1019" t="s">
        <v>959</v>
      </c>
    </row>
    <row r="435" spans="2:73" ht="12" x14ac:dyDescent="0.4">
      <c r="C435" s="736"/>
      <c r="D435" s="731"/>
      <c r="E435" s="731"/>
      <c r="F435" s="731"/>
      <c r="G435" s="731"/>
      <c r="H435" s="731"/>
      <c r="I435" s="731"/>
      <c r="J435" s="732"/>
      <c r="K435" s="354"/>
      <c r="L435" s="349"/>
      <c r="M435" s="349"/>
      <c r="N435" s="349"/>
      <c r="O435" s="349"/>
      <c r="P435" s="349"/>
      <c r="Q435" s="349"/>
      <c r="R435" s="349"/>
      <c r="S435" s="349"/>
      <c r="T435" s="349"/>
      <c r="U435" s="349"/>
      <c r="V435" s="349"/>
      <c r="W435" s="349"/>
      <c r="X435" s="349"/>
      <c r="Y435" s="349"/>
      <c r="Z435" s="349"/>
      <c r="AA435" s="349"/>
      <c r="AB435" s="358"/>
      <c r="AC435" s="726"/>
      <c r="AD435" s="878" t="s">
        <v>464</v>
      </c>
      <c r="AE435" s="877"/>
      <c r="AF435" s="730"/>
      <c r="AG435" s="728"/>
      <c r="AH435" s="728"/>
      <c r="AI435" s="728"/>
      <c r="AJ435" s="728"/>
      <c r="AK435" s="728"/>
      <c r="AL435" s="748"/>
      <c r="BR435" s="1019" t="s">
        <v>485</v>
      </c>
      <c r="BS435" s="1019" t="s">
        <v>485</v>
      </c>
      <c r="BT435" s="1019" t="s">
        <v>539</v>
      </c>
      <c r="BU435" s="1019" t="s">
        <v>960</v>
      </c>
    </row>
    <row r="436" spans="2:73" ht="12" x14ac:dyDescent="0.4">
      <c r="C436" s="736"/>
      <c r="D436" s="731"/>
      <c r="E436" s="731"/>
      <c r="F436" s="731"/>
      <c r="G436" s="731"/>
      <c r="H436" s="731"/>
      <c r="I436" s="731"/>
      <c r="J436" s="732"/>
      <c r="K436" s="354"/>
      <c r="L436" s="349"/>
      <c r="M436" s="349"/>
      <c r="N436" s="349"/>
      <c r="O436" s="349"/>
      <c r="P436" s="349"/>
      <c r="Q436" s="349"/>
      <c r="R436" s="349"/>
      <c r="S436" s="349"/>
      <c r="T436" s="349"/>
      <c r="U436" s="349"/>
      <c r="V436" s="349"/>
      <c r="W436" s="349"/>
      <c r="X436" s="349"/>
      <c r="Y436" s="349"/>
      <c r="Z436" s="349"/>
      <c r="AA436" s="349"/>
      <c r="AB436" s="358"/>
      <c r="AC436" s="730"/>
      <c r="AD436" s="728"/>
      <c r="AE436" s="728"/>
      <c r="AF436" s="731"/>
      <c r="AG436" s="731"/>
      <c r="AH436" s="731"/>
      <c r="AI436" s="731"/>
      <c r="AJ436" s="731"/>
      <c r="AK436" s="731"/>
      <c r="AL436" s="745"/>
      <c r="BR436" s="1019" t="s">
        <v>485</v>
      </c>
      <c r="BS436" s="1019" t="s">
        <v>485</v>
      </c>
      <c r="BT436" s="1019" t="s">
        <v>539</v>
      </c>
      <c r="BU436" s="1019" t="s">
        <v>658</v>
      </c>
    </row>
    <row r="437" spans="2:73" ht="12" x14ac:dyDescent="0.4">
      <c r="C437" s="736"/>
      <c r="D437" s="731"/>
      <c r="E437" s="731"/>
      <c r="F437" s="731"/>
      <c r="G437" s="731"/>
      <c r="H437" s="731"/>
      <c r="I437" s="731"/>
      <c r="J437" s="732"/>
      <c r="K437" s="354"/>
      <c r="L437" s="349"/>
      <c r="M437" s="349"/>
      <c r="N437" s="349"/>
      <c r="O437" s="349"/>
      <c r="P437" s="349"/>
      <c r="Q437" s="349"/>
      <c r="R437" s="349"/>
      <c r="S437" s="349"/>
      <c r="T437" s="349"/>
      <c r="U437" s="349"/>
      <c r="V437" s="349"/>
      <c r="W437" s="349"/>
      <c r="X437" s="349"/>
      <c r="Y437" s="349"/>
      <c r="Z437" s="349"/>
      <c r="AA437" s="349"/>
      <c r="AB437" s="358"/>
      <c r="AC437" s="730"/>
      <c r="AD437" s="731"/>
      <c r="AE437" s="731"/>
      <c r="AF437" s="731"/>
      <c r="AG437" s="731"/>
      <c r="AH437" s="731"/>
      <c r="AI437" s="731"/>
      <c r="AJ437" s="731"/>
      <c r="AK437" s="731"/>
      <c r="AL437" s="745"/>
      <c r="BR437" s="1019" t="s">
        <v>464</v>
      </c>
      <c r="BS437" s="1019" t="s">
        <v>464</v>
      </c>
      <c r="BT437" s="1019" t="s">
        <v>534</v>
      </c>
      <c r="BU437" s="1019" t="s">
        <v>961</v>
      </c>
    </row>
    <row r="438" spans="2:73" ht="12" x14ac:dyDescent="0.4">
      <c r="C438" s="736"/>
      <c r="D438" s="731"/>
      <c r="E438" s="731"/>
      <c r="F438" s="731"/>
      <c r="G438" s="731"/>
      <c r="H438" s="731"/>
      <c r="I438" s="731"/>
      <c r="J438" s="732"/>
      <c r="K438" s="354"/>
      <c r="L438" s="349"/>
      <c r="M438" s="349"/>
      <c r="N438" s="349"/>
      <c r="O438" s="349"/>
      <c r="P438" s="349"/>
      <c r="Q438" s="349"/>
      <c r="R438" s="349"/>
      <c r="S438" s="349"/>
      <c r="T438" s="349"/>
      <c r="U438" s="349"/>
      <c r="V438" s="349"/>
      <c r="W438" s="349"/>
      <c r="X438" s="349"/>
      <c r="Y438" s="349"/>
      <c r="Z438" s="349"/>
      <c r="AA438" s="349"/>
      <c r="AB438" s="358"/>
      <c r="AC438" s="730"/>
      <c r="AD438" s="731"/>
      <c r="AE438" s="731"/>
      <c r="AF438" s="731"/>
      <c r="AG438" s="731"/>
      <c r="AH438" s="731"/>
      <c r="AI438" s="731"/>
      <c r="AJ438" s="731"/>
      <c r="AK438" s="731"/>
      <c r="AL438" s="745"/>
      <c r="BR438" s="1019" t="s">
        <v>948</v>
      </c>
      <c r="BS438" s="1019" t="s">
        <v>435</v>
      </c>
      <c r="BT438" s="1019" t="s">
        <v>695</v>
      </c>
      <c r="BU438" s="1019" t="s">
        <v>962</v>
      </c>
    </row>
    <row r="439" spans="2:73" ht="12" x14ac:dyDescent="0.4">
      <c r="B439" s="125">
        <v>5</v>
      </c>
      <c r="C439" s="736"/>
      <c r="D439" s="731"/>
      <c r="E439" s="731"/>
      <c r="F439" s="731"/>
      <c r="G439" s="731"/>
      <c r="H439" s="731"/>
      <c r="I439" s="731"/>
      <c r="J439" s="732"/>
      <c r="K439" s="354"/>
      <c r="L439" s="349"/>
      <c r="M439" s="349"/>
      <c r="N439" s="349"/>
      <c r="O439" s="349"/>
      <c r="P439" s="349"/>
      <c r="Q439" s="349"/>
      <c r="R439" s="349"/>
      <c r="S439" s="349"/>
      <c r="T439" s="349"/>
      <c r="U439" s="349"/>
      <c r="V439" s="349"/>
      <c r="W439" s="349"/>
      <c r="X439" s="349"/>
      <c r="Y439" s="349"/>
      <c r="Z439" s="349"/>
      <c r="AA439" s="349"/>
      <c r="AB439" s="358"/>
      <c r="AC439" s="730"/>
      <c r="AD439" s="731"/>
      <c r="AE439" s="731"/>
      <c r="AF439" s="731"/>
      <c r="AG439" s="731"/>
      <c r="AH439" s="731"/>
      <c r="AI439" s="731"/>
      <c r="AJ439" s="731"/>
      <c r="AK439" s="731"/>
      <c r="AL439" s="745"/>
      <c r="BR439" s="1019" t="s">
        <v>469</v>
      </c>
      <c r="BS439" s="1019" t="s">
        <v>469</v>
      </c>
      <c r="BT439" s="1019" t="s">
        <v>685</v>
      </c>
      <c r="BU439" s="1019" t="s">
        <v>963</v>
      </c>
    </row>
    <row r="440" spans="2:73" ht="12" x14ac:dyDescent="0.4">
      <c r="C440" s="736"/>
      <c r="D440" s="731"/>
      <c r="E440" s="731"/>
      <c r="F440" s="731"/>
      <c r="G440" s="731"/>
      <c r="H440" s="731"/>
      <c r="I440" s="731"/>
      <c r="J440" s="732"/>
      <c r="K440" s="354"/>
      <c r="L440" s="349"/>
      <c r="M440" s="349"/>
      <c r="N440" s="349"/>
      <c r="O440" s="875" t="s">
        <v>485</v>
      </c>
      <c r="P440" s="349"/>
      <c r="Q440" s="349"/>
      <c r="R440" s="349"/>
      <c r="S440" s="349"/>
      <c r="T440" s="349"/>
      <c r="U440" s="349"/>
      <c r="V440" s="349"/>
      <c r="W440" s="875" t="s">
        <v>485</v>
      </c>
      <c r="X440" s="349"/>
      <c r="Y440" s="349"/>
      <c r="Z440" s="349"/>
      <c r="AA440" s="349"/>
      <c r="AB440" s="358"/>
      <c r="AC440" s="730"/>
      <c r="AD440" s="731"/>
      <c r="AE440" s="731"/>
      <c r="AF440" s="731"/>
      <c r="AG440" s="731"/>
      <c r="AH440" s="731"/>
      <c r="AI440" s="731"/>
      <c r="AJ440" s="731"/>
      <c r="AK440" s="731"/>
      <c r="AL440" s="745"/>
      <c r="BR440" s="1019" t="s">
        <v>508</v>
      </c>
      <c r="BS440" s="1019" t="s">
        <v>486</v>
      </c>
      <c r="BT440" s="1019" t="s">
        <v>539</v>
      </c>
      <c r="BU440" s="1019" t="s">
        <v>618</v>
      </c>
    </row>
    <row r="441" spans="2:73" ht="12" x14ac:dyDescent="0.4">
      <c r="C441" s="736"/>
      <c r="D441" s="193" t="s">
        <v>508</v>
      </c>
      <c r="E441" s="1068" t="str">
        <f t="shared" ref="E441:AJ441" si="24">IF($AB$3="ON","→","")</f>
        <v>→</v>
      </c>
      <c r="F441" s="1068" t="str">
        <f t="shared" si="24"/>
        <v>→</v>
      </c>
      <c r="G441" s="1068" t="str">
        <f t="shared" si="24"/>
        <v>→</v>
      </c>
      <c r="H441" s="1068" t="str">
        <f t="shared" si="24"/>
        <v>→</v>
      </c>
      <c r="I441" s="1068" t="str">
        <f t="shared" si="24"/>
        <v>→</v>
      </c>
      <c r="J441" s="1080" t="str">
        <f t="shared" si="24"/>
        <v>→</v>
      </c>
      <c r="K441" s="1023" t="str">
        <f t="shared" si="24"/>
        <v>→</v>
      </c>
      <c r="L441" s="1024" t="str">
        <f t="shared" si="24"/>
        <v>→</v>
      </c>
      <c r="M441" s="1024" t="str">
        <f t="shared" si="24"/>
        <v>→</v>
      </c>
      <c r="N441" s="1024" t="str">
        <f t="shared" si="24"/>
        <v>→</v>
      </c>
      <c r="O441" s="1024" t="str">
        <f t="shared" si="24"/>
        <v>→</v>
      </c>
      <c r="P441" s="1024" t="str">
        <f t="shared" si="24"/>
        <v>→</v>
      </c>
      <c r="Q441" s="1024" t="str">
        <f t="shared" si="24"/>
        <v>→</v>
      </c>
      <c r="R441" s="1024" t="str">
        <f t="shared" si="24"/>
        <v>→</v>
      </c>
      <c r="S441" s="1024" t="str">
        <f t="shared" si="24"/>
        <v>→</v>
      </c>
      <c r="T441" s="1024" t="str">
        <f t="shared" si="24"/>
        <v>→</v>
      </c>
      <c r="U441" s="1024" t="str">
        <f t="shared" si="24"/>
        <v>→</v>
      </c>
      <c r="V441" s="1024" t="str">
        <f t="shared" si="24"/>
        <v>→</v>
      </c>
      <c r="W441" s="1024" t="str">
        <f t="shared" si="24"/>
        <v>→</v>
      </c>
      <c r="X441" s="1024" t="str">
        <f t="shared" si="24"/>
        <v>→</v>
      </c>
      <c r="Y441" s="1024" t="str">
        <f t="shared" si="24"/>
        <v>→</v>
      </c>
      <c r="Z441" s="1024" t="str">
        <f t="shared" si="24"/>
        <v>→</v>
      </c>
      <c r="AA441" s="1024" t="str">
        <f t="shared" si="24"/>
        <v>→</v>
      </c>
      <c r="AB441" s="1025" t="str">
        <f t="shared" si="24"/>
        <v>→</v>
      </c>
      <c r="AC441" s="1081" t="str">
        <f t="shared" si="24"/>
        <v>→</v>
      </c>
      <c r="AD441" s="1068" t="str">
        <f t="shared" si="24"/>
        <v>→</v>
      </c>
      <c r="AE441" s="1068" t="str">
        <f t="shared" si="24"/>
        <v>→</v>
      </c>
      <c r="AF441" s="1068" t="str">
        <f t="shared" si="24"/>
        <v>→</v>
      </c>
      <c r="AG441" s="1067" t="str">
        <f t="shared" si="24"/>
        <v>→</v>
      </c>
      <c r="AH441" s="1067" t="str">
        <f t="shared" si="24"/>
        <v>→</v>
      </c>
      <c r="AI441" s="1067" t="str">
        <f t="shared" si="24"/>
        <v>→</v>
      </c>
      <c r="AJ441" s="1067" t="str">
        <f t="shared" si="24"/>
        <v>→</v>
      </c>
      <c r="AK441" s="731"/>
      <c r="AL441" s="745"/>
    </row>
    <row r="442" spans="2:73" x14ac:dyDescent="0.4">
      <c r="C442" s="736"/>
      <c r="D442" s="731"/>
      <c r="E442" s="731"/>
      <c r="F442" s="731"/>
      <c r="G442" s="731"/>
      <c r="H442" s="731"/>
      <c r="I442" s="731"/>
      <c r="J442" s="732"/>
      <c r="K442" s="354"/>
      <c r="L442" s="349"/>
      <c r="M442" s="349"/>
      <c r="N442" s="349"/>
      <c r="O442" s="349"/>
      <c r="P442" s="349"/>
      <c r="Q442" s="349"/>
      <c r="R442" s="349"/>
      <c r="S442" s="349"/>
      <c r="T442" s="349"/>
      <c r="U442" s="349"/>
      <c r="V442" s="349"/>
      <c r="W442" s="349"/>
      <c r="X442" s="349"/>
      <c r="Y442" s="349"/>
      <c r="Z442" s="349"/>
      <c r="AA442" s="349"/>
      <c r="AB442" s="358"/>
      <c r="AC442" s="730"/>
      <c r="AD442" s="731"/>
      <c r="AE442" s="731"/>
      <c r="AF442" s="732"/>
      <c r="AG442" s="850" t="s">
        <v>469</v>
      </c>
      <c r="AH442" s="845"/>
      <c r="AI442" s="845"/>
      <c r="AJ442" s="848"/>
      <c r="AK442" s="730"/>
      <c r="AL442" s="745"/>
    </row>
    <row r="443" spans="2:73" ht="12" x14ac:dyDescent="0.4">
      <c r="C443" s="736"/>
      <c r="D443" s="731"/>
      <c r="E443" s="731"/>
      <c r="F443" s="731"/>
      <c r="G443" s="731"/>
      <c r="H443" s="731"/>
      <c r="I443" s="731"/>
      <c r="J443" s="732"/>
      <c r="K443" s="354"/>
      <c r="L443" s="349"/>
      <c r="M443" s="349"/>
      <c r="N443" s="349"/>
      <c r="O443" s="349"/>
      <c r="P443" s="349"/>
      <c r="Q443" s="349"/>
      <c r="R443" s="349"/>
      <c r="S443" s="349"/>
      <c r="T443" s="349"/>
      <c r="U443" s="349"/>
      <c r="V443" s="349"/>
      <c r="W443" s="349"/>
      <c r="X443" s="349"/>
      <c r="Y443" s="349"/>
      <c r="Z443" s="349"/>
      <c r="AA443" s="349"/>
      <c r="AB443" s="358"/>
      <c r="AC443" s="730"/>
      <c r="AD443" s="731"/>
      <c r="AE443" s="731"/>
      <c r="AF443" s="732"/>
      <c r="AG443" s="843"/>
      <c r="AH443" s="1082" t="str">
        <f>IF($AB$3="ON","↓","")</f>
        <v>↓</v>
      </c>
      <c r="AI443" s="842"/>
      <c r="AJ443" s="863"/>
      <c r="AK443" s="730"/>
      <c r="AL443" s="745"/>
    </row>
    <row r="444" spans="2:73" ht="12" x14ac:dyDescent="0.4">
      <c r="B444" s="125">
        <v>10</v>
      </c>
      <c r="C444" s="736"/>
      <c r="D444" s="731"/>
      <c r="E444" s="731"/>
      <c r="F444" s="731"/>
      <c r="G444" s="731"/>
      <c r="H444" s="731"/>
      <c r="I444" s="731"/>
      <c r="J444" s="732"/>
      <c r="K444" s="354"/>
      <c r="L444" s="349"/>
      <c r="M444" s="349"/>
      <c r="N444" s="349"/>
      <c r="O444" s="349"/>
      <c r="P444" s="349"/>
      <c r="Q444" s="349"/>
      <c r="R444" s="349"/>
      <c r="S444" s="349"/>
      <c r="T444" s="349"/>
      <c r="U444" s="349"/>
      <c r="V444" s="349"/>
      <c r="W444" s="349"/>
      <c r="X444" s="349"/>
      <c r="Y444" s="349"/>
      <c r="Z444" s="349"/>
      <c r="AA444" s="349"/>
      <c r="AB444" s="358"/>
      <c r="AC444" s="730"/>
      <c r="AD444" s="731"/>
      <c r="AE444" s="731"/>
      <c r="AF444" s="732"/>
      <c r="AG444" s="846"/>
      <c r="AH444" s="1083" t="str">
        <f>IF($AB$3="ON","↓","")</f>
        <v>↓</v>
      </c>
      <c r="AI444" s="847"/>
      <c r="AJ444" s="849"/>
      <c r="AK444" s="730"/>
      <c r="AL444" s="745"/>
    </row>
    <row r="445" spans="2:73" ht="12" x14ac:dyDescent="0.4">
      <c r="C445" s="736"/>
      <c r="D445" s="731"/>
      <c r="E445" s="731"/>
      <c r="F445" s="731"/>
      <c r="G445" s="731"/>
      <c r="H445" s="731"/>
      <c r="I445" s="731"/>
      <c r="J445" s="732"/>
      <c r="K445" s="354"/>
      <c r="L445" s="349"/>
      <c r="M445" s="349"/>
      <c r="N445" s="349"/>
      <c r="O445" s="349"/>
      <c r="P445" s="349"/>
      <c r="Q445" s="349"/>
      <c r="R445" s="349"/>
      <c r="S445" s="349"/>
      <c r="T445" s="349"/>
      <c r="U445" s="349"/>
      <c r="V445" s="349"/>
      <c r="W445" s="349"/>
      <c r="X445" s="349"/>
      <c r="Y445" s="349"/>
      <c r="Z445" s="349"/>
      <c r="AA445" s="349"/>
      <c r="AB445" s="358"/>
      <c r="AC445" s="730"/>
      <c r="AD445" s="731"/>
      <c r="AE445" s="731"/>
      <c r="AF445" s="731"/>
      <c r="AG445" s="728"/>
      <c r="AH445" s="1069" t="str">
        <f>IF($AB$3="ON","↓","")</f>
        <v>↓</v>
      </c>
      <c r="AI445" s="728"/>
      <c r="AJ445" s="728"/>
      <c r="AK445" s="731"/>
      <c r="AL445" s="745"/>
    </row>
    <row r="446" spans="2:73" ht="12" x14ac:dyDescent="0.4">
      <c r="C446" s="736"/>
      <c r="D446" s="731"/>
      <c r="E446" s="731"/>
      <c r="F446" s="731"/>
      <c r="G446" s="731"/>
      <c r="H446" s="731"/>
      <c r="I446" s="731"/>
      <c r="J446" s="732"/>
      <c r="K446" s="354"/>
      <c r="L446" s="349"/>
      <c r="M446" s="349"/>
      <c r="N446" s="349"/>
      <c r="O446" s="349"/>
      <c r="P446" s="349"/>
      <c r="Q446" s="349"/>
      <c r="R446" s="349"/>
      <c r="S446" s="349"/>
      <c r="T446" s="349"/>
      <c r="U446" s="349"/>
      <c r="V446" s="349"/>
      <c r="W446" s="349"/>
      <c r="X446" s="349"/>
      <c r="Y446" s="349"/>
      <c r="Z446" s="349"/>
      <c r="AA446" s="349"/>
      <c r="AB446" s="358"/>
      <c r="AC446" s="730"/>
      <c r="AD446" s="731"/>
      <c r="AE446" s="879" t="s">
        <v>957</v>
      </c>
      <c r="AF446" s="731"/>
      <c r="AG446" s="731"/>
      <c r="AH446" s="731"/>
      <c r="AI446" s="731"/>
      <c r="AJ446" s="731"/>
      <c r="AK446" s="731"/>
      <c r="AL446" s="745"/>
    </row>
    <row r="447" spans="2:73" ht="11.25" thickBot="1" x14ac:dyDescent="0.45">
      <c r="C447" s="741"/>
      <c r="D447" s="742"/>
      <c r="E447" s="742"/>
      <c r="F447" s="742"/>
      <c r="G447" s="742"/>
      <c r="H447" s="742"/>
      <c r="I447" s="742"/>
      <c r="J447" s="743"/>
      <c r="K447" s="355"/>
      <c r="L447" s="356"/>
      <c r="M447" s="356"/>
      <c r="N447" s="356"/>
      <c r="O447" s="356"/>
      <c r="P447" s="356"/>
      <c r="Q447" s="356"/>
      <c r="R447" s="356"/>
      <c r="S447" s="356"/>
      <c r="T447" s="356"/>
      <c r="U447" s="356"/>
      <c r="V447" s="356"/>
      <c r="W447" s="356"/>
      <c r="X447" s="356"/>
      <c r="Y447" s="356"/>
      <c r="Z447" s="356"/>
      <c r="AA447" s="356"/>
      <c r="AB447" s="359"/>
      <c r="AC447" s="874"/>
      <c r="AD447" s="742"/>
      <c r="AE447" s="742"/>
      <c r="AF447" s="742"/>
      <c r="AG447" s="742"/>
      <c r="AH447" s="742"/>
      <c r="AI447" s="742"/>
      <c r="AJ447" s="742"/>
      <c r="AK447" s="742"/>
      <c r="AL447" s="746"/>
    </row>
    <row r="451" spans="2:73" ht="15.75" x14ac:dyDescent="0.4">
      <c r="B451" s="122" t="s">
        <v>964</v>
      </c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  <c r="AL451" s="121"/>
      <c r="AM451" s="121"/>
      <c r="AN451" s="121"/>
      <c r="AO451" s="121"/>
      <c r="AP451" s="121"/>
      <c r="AQ451" s="121"/>
      <c r="AR451" s="121"/>
      <c r="AS451" s="121"/>
      <c r="AT451" s="121"/>
      <c r="AU451" s="121"/>
      <c r="AV451" s="121"/>
      <c r="AW451" s="121"/>
      <c r="AX451" s="121"/>
      <c r="AY451" s="121"/>
      <c r="AZ451" s="121"/>
      <c r="BA451" s="121"/>
      <c r="BB451" s="121"/>
      <c r="BC451" s="121"/>
      <c r="BD451" s="121"/>
      <c r="BE451" s="121"/>
      <c r="BF451" s="121"/>
      <c r="BG451" s="121"/>
      <c r="BH451" s="121"/>
      <c r="BI451" s="121"/>
      <c r="BJ451" s="123" t="s">
        <v>965</v>
      </c>
      <c r="BK451" s="121"/>
      <c r="BL451" s="121"/>
      <c r="BM451" s="121"/>
      <c r="BN451" s="121"/>
      <c r="BO451" s="121"/>
      <c r="BP451" s="121"/>
      <c r="BQ451" s="121"/>
      <c r="BR451" s="121"/>
      <c r="BS451" s="121"/>
      <c r="BT451" s="121"/>
      <c r="BU451" s="121"/>
    </row>
    <row r="453" spans="2:73" ht="12.75" thickBot="1" x14ac:dyDescent="0.45">
      <c r="C453" s="125">
        <v>0</v>
      </c>
      <c r="H453" s="125">
        <v>5</v>
      </c>
      <c r="BR453" s="272" t="s">
        <v>310</v>
      </c>
      <c r="BS453" s="272" t="s">
        <v>529</v>
      </c>
      <c r="BT453" s="272" t="s">
        <v>530</v>
      </c>
      <c r="BU453" s="272" t="s">
        <v>531</v>
      </c>
    </row>
    <row r="454" spans="2:73" ht="12" x14ac:dyDescent="0.4">
      <c r="B454" s="125">
        <v>0</v>
      </c>
      <c r="C454" s="751" t="s">
        <v>966</v>
      </c>
      <c r="D454" s="581"/>
      <c r="E454" s="138"/>
      <c r="F454" s="138"/>
      <c r="G454" s="139"/>
      <c r="H454" s="751" t="s">
        <v>966</v>
      </c>
      <c r="BR454" s="1019" t="s">
        <v>966</v>
      </c>
      <c r="BS454" s="1019" t="s">
        <v>435</v>
      </c>
      <c r="BT454" s="1019" t="s">
        <v>967</v>
      </c>
      <c r="BU454" s="1019" t="s">
        <v>753</v>
      </c>
    </row>
    <row r="455" spans="2:73" ht="12" x14ac:dyDescent="0.4">
      <c r="C455" s="749"/>
      <c r="D455" s="129"/>
      <c r="E455" s="999" t="str">
        <f t="shared" ref="E455:E474" si="25">IF($AB$3="ON","↑","")</f>
        <v>↑</v>
      </c>
      <c r="F455" s="130"/>
      <c r="G455" s="131"/>
      <c r="H455" s="749"/>
      <c r="BR455" s="1019" t="s">
        <v>966</v>
      </c>
      <c r="BS455" s="1019" t="s">
        <v>435</v>
      </c>
      <c r="BT455" s="1019" t="s">
        <v>967</v>
      </c>
      <c r="BU455" s="1019" t="s">
        <v>968</v>
      </c>
    </row>
    <row r="456" spans="2:73" ht="12" x14ac:dyDescent="0.4">
      <c r="C456" s="749"/>
      <c r="D456" s="129"/>
      <c r="E456" s="999" t="str">
        <f t="shared" si="25"/>
        <v>↑</v>
      </c>
      <c r="F456" s="130"/>
      <c r="G456" s="131"/>
      <c r="H456" s="749"/>
      <c r="BR456" s="1019" t="s">
        <v>508</v>
      </c>
      <c r="BS456" s="1019" t="s">
        <v>486</v>
      </c>
      <c r="BT456" s="1019" t="s">
        <v>539</v>
      </c>
      <c r="BU456" s="1019" t="s">
        <v>969</v>
      </c>
    </row>
    <row r="457" spans="2:73" ht="12" x14ac:dyDescent="0.4">
      <c r="C457" s="749"/>
      <c r="D457" s="129"/>
      <c r="E457" s="999" t="str">
        <f t="shared" si="25"/>
        <v>↑</v>
      </c>
      <c r="F457" s="130"/>
      <c r="G457" s="131"/>
      <c r="H457" s="749"/>
    </row>
    <row r="458" spans="2:73" ht="12" x14ac:dyDescent="0.4">
      <c r="C458" s="749"/>
      <c r="D458" s="129"/>
      <c r="E458" s="999" t="str">
        <f t="shared" si="25"/>
        <v>↑</v>
      </c>
      <c r="F458" s="130"/>
      <c r="G458" s="131"/>
      <c r="H458" s="749"/>
    </row>
    <row r="459" spans="2:73" ht="12" x14ac:dyDescent="0.4">
      <c r="B459" s="125">
        <v>5</v>
      </c>
      <c r="C459" s="749"/>
      <c r="D459" s="129"/>
      <c r="E459" s="999" t="str">
        <f t="shared" si="25"/>
        <v>↑</v>
      </c>
      <c r="F459" s="130"/>
      <c r="G459" s="131"/>
      <c r="H459" s="749"/>
    </row>
    <row r="460" spans="2:73" ht="12" x14ac:dyDescent="0.4">
      <c r="C460" s="749"/>
      <c r="D460" s="129"/>
      <c r="E460" s="999" t="str">
        <f t="shared" si="25"/>
        <v>↑</v>
      </c>
      <c r="F460" s="130"/>
      <c r="G460" s="131"/>
      <c r="H460" s="749"/>
    </row>
    <row r="461" spans="2:73" ht="12" x14ac:dyDescent="0.4">
      <c r="C461" s="749"/>
      <c r="D461" s="129"/>
      <c r="E461" s="999" t="str">
        <f t="shared" si="25"/>
        <v>↑</v>
      </c>
      <c r="F461" s="130"/>
      <c r="G461" s="131"/>
      <c r="H461" s="749"/>
    </row>
    <row r="462" spans="2:73" ht="12" x14ac:dyDescent="0.4">
      <c r="C462" s="749"/>
      <c r="D462" s="129"/>
      <c r="E462" s="999" t="str">
        <f t="shared" si="25"/>
        <v>↑</v>
      </c>
      <c r="F462" s="130"/>
      <c r="G462" s="131"/>
      <c r="H462" s="749"/>
    </row>
    <row r="463" spans="2:73" ht="12" x14ac:dyDescent="0.4">
      <c r="C463" s="749"/>
      <c r="D463" s="129"/>
      <c r="E463" s="999" t="str">
        <f t="shared" si="25"/>
        <v>↑</v>
      </c>
      <c r="F463" s="130"/>
      <c r="G463" s="131"/>
      <c r="H463" s="749"/>
    </row>
    <row r="464" spans="2:73" ht="12" x14ac:dyDescent="0.4">
      <c r="B464" s="125">
        <v>10</v>
      </c>
      <c r="C464" s="749"/>
      <c r="D464" s="129"/>
      <c r="E464" s="999" t="str">
        <f t="shared" si="25"/>
        <v>↑</v>
      </c>
      <c r="F464" s="130"/>
      <c r="G464" s="131"/>
      <c r="H464" s="749"/>
    </row>
    <row r="465" spans="2:73" ht="12" x14ac:dyDescent="0.4">
      <c r="C465" s="749"/>
      <c r="D465" s="129"/>
      <c r="E465" s="999" t="str">
        <f t="shared" si="25"/>
        <v>↑</v>
      </c>
      <c r="F465" s="130"/>
      <c r="G465" s="131"/>
      <c r="H465" s="749"/>
    </row>
    <row r="466" spans="2:73" ht="12" x14ac:dyDescent="0.4">
      <c r="C466" s="749"/>
      <c r="D466" s="129"/>
      <c r="E466" s="999" t="str">
        <f t="shared" si="25"/>
        <v>↑</v>
      </c>
      <c r="F466" s="130"/>
      <c r="G466" s="131"/>
      <c r="H466" s="749"/>
    </row>
    <row r="467" spans="2:73" ht="12" x14ac:dyDescent="0.4">
      <c r="C467" s="749"/>
      <c r="D467" s="129"/>
      <c r="E467" s="999" t="str">
        <f t="shared" si="25"/>
        <v>↑</v>
      </c>
      <c r="F467" s="130"/>
      <c r="G467" s="131"/>
      <c r="H467" s="749"/>
    </row>
    <row r="468" spans="2:73" ht="12" x14ac:dyDescent="0.4">
      <c r="C468" s="749"/>
      <c r="D468" s="129"/>
      <c r="E468" s="999" t="str">
        <f t="shared" si="25"/>
        <v>↑</v>
      </c>
      <c r="F468" s="130"/>
      <c r="G468" s="131"/>
      <c r="H468" s="749"/>
    </row>
    <row r="469" spans="2:73" ht="12" x14ac:dyDescent="0.4">
      <c r="B469" s="125">
        <v>15</v>
      </c>
      <c r="C469" s="749"/>
      <c r="D469" s="129"/>
      <c r="E469" s="999" t="str">
        <f t="shared" si="25"/>
        <v>↑</v>
      </c>
      <c r="F469" s="130"/>
      <c r="G469" s="131"/>
      <c r="H469" s="749"/>
    </row>
    <row r="470" spans="2:73" ht="12" x14ac:dyDescent="0.4">
      <c r="C470" s="749"/>
      <c r="D470" s="129"/>
      <c r="E470" s="999" t="str">
        <f t="shared" si="25"/>
        <v>↑</v>
      </c>
      <c r="F470" s="130"/>
      <c r="G470" s="131"/>
      <c r="H470" s="749"/>
    </row>
    <row r="471" spans="2:73" ht="12" x14ac:dyDescent="0.4">
      <c r="C471" s="749"/>
      <c r="D471" s="129"/>
      <c r="E471" s="999" t="str">
        <f t="shared" si="25"/>
        <v>↑</v>
      </c>
      <c r="F471" s="130"/>
      <c r="G471" s="131"/>
      <c r="H471" s="749"/>
    </row>
    <row r="472" spans="2:73" ht="12" x14ac:dyDescent="0.4">
      <c r="C472" s="749"/>
      <c r="D472" s="129"/>
      <c r="E472" s="999" t="str">
        <f t="shared" si="25"/>
        <v>↑</v>
      </c>
      <c r="F472" s="130"/>
      <c r="G472" s="131"/>
      <c r="H472" s="749"/>
    </row>
    <row r="473" spans="2:73" ht="12" x14ac:dyDescent="0.4">
      <c r="C473" s="749"/>
      <c r="D473" s="129"/>
      <c r="E473" s="999" t="str">
        <f t="shared" si="25"/>
        <v>↑</v>
      </c>
      <c r="F473" s="130"/>
      <c r="G473" s="131"/>
      <c r="H473" s="749"/>
    </row>
    <row r="474" spans="2:73" ht="12" x14ac:dyDescent="0.4">
      <c r="B474" s="125">
        <v>20</v>
      </c>
      <c r="C474" s="749"/>
      <c r="D474" s="129"/>
      <c r="E474" s="999" t="str">
        <f t="shared" si="25"/>
        <v>↑</v>
      </c>
      <c r="F474" s="130"/>
      <c r="G474" s="131"/>
      <c r="H474" s="749"/>
    </row>
    <row r="475" spans="2:73" ht="11.25" thickBot="1" x14ac:dyDescent="0.45">
      <c r="C475" s="750"/>
      <c r="D475" s="582"/>
      <c r="E475" s="643" t="s">
        <v>508</v>
      </c>
      <c r="F475" s="140"/>
      <c r="G475" s="141"/>
      <c r="H475" s="750"/>
    </row>
    <row r="479" spans="2:73" ht="15.75" x14ac:dyDescent="0.4">
      <c r="B479" s="122" t="s">
        <v>970</v>
      </c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  <c r="AP479" s="121"/>
      <c r="AQ479" s="121"/>
      <c r="AR479" s="121"/>
      <c r="AS479" s="121"/>
      <c r="AT479" s="121"/>
      <c r="AU479" s="121"/>
      <c r="AV479" s="121"/>
      <c r="AW479" s="121"/>
      <c r="AX479" s="121"/>
      <c r="AY479" s="121"/>
      <c r="AZ479" s="121"/>
      <c r="BA479" s="121"/>
      <c r="BB479" s="121"/>
      <c r="BC479" s="121"/>
      <c r="BD479" s="121"/>
      <c r="BE479" s="121"/>
      <c r="BF479" s="121"/>
      <c r="BG479" s="121"/>
      <c r="BH479" s="121"/>
      <c r="BI479" s="121"/>
      <c r="BJ479" s="123" t="s">
        <v>971</v>
      </c>
      <c r="BK479" s="121"/>
      <c r="BL479" s="121"/>
      <c r="BM479" s="121"/>
      <c r="BN479" s="121"/>
      <c r="BO479" s="121"/>
      <c r="BP479" s="121"/>
      <c r="BQ479" s="121"/>
      <c r="BR479" s="121"/>
      <c r="BS479" s="121"/>
      <c r="BT479" s="121"/>
      <c r="BU479" s="121"/>
    </row>
    <row r="480" spans="2:73" ht="12" x14ac:dyDescent="0.4">
      <c r="B480" s="124" t="s">
        <v>972</v>
      </c>
    </row>
    <row r="481" spans="2:73" ht="12.75" thickBot="1" x14ac:dyDescent="0.45">
      <c r="C481" s="125">
        <v>0</v>
      </c>
      <c r="H481" s="125">
        <v>5</v>
      </c>
      <c r="M481" s="125">
        <v>10</v>
      </c>
      <c r="R481" s="125">
        <v>15</v>
      </c>
      <c r="W481" s="125">
        <v>20</v>
      </c>
      <c r="AB481" s="125">
        <v>25</v>
      </c>
      <c r="BR481" s="272" t="s">
        <v>310</v>
      </c>
      <c r="BS481" s="272" t="s">
        <v>529</v>
      </c>
      <c r="BT481" s="272" t="s">
        <v>530</v>
      </c>
      <c r="BU481" s="272" t="s">
        <v>531</v>
      </c>
    </row>
    <row r="482" spans="2:73" ht="12" x14ac:dyDescent="0.4">
      <c r="B482" s="125">
        <v>0</v>
      </c>
      <c r="C482" s="883"/>
      <c r="D482" s="884"/>
      <c r="E482" s="905" t="s">
        <v>480</v>
      </c>
      <c r="F482" s="884"/>
      <c r="G482" s="884"/>
      <c r="H482" s="884"/>
      <c r="I482" s="884"/>
      <c r="J482" s="884"/>
      <c r="K482" s="884"/>
      <c r="L482" s="884"/>
      <c r="M482" s="884"/>
      <c r="N482" s="884"/>
      <c r="O482" s="884"/>
      <c r="P482" s="884"/>
      <c r="Q482" s="884"/>
      <c r="R482" s="884"/>
      <c r="S482" s="884"/>
      <c r="T482" s="884"/>
      <c r="U482" s="884"/>
      <c r="V482" s="884"/>
      <c r="W482" s="884"/>
      <c r="X482" s="884"/>
      <c r="Y482" s="884"/>
      <c r="Z482" s="884"/>
      <c r="AA482" s="884"/>
      <c r="AB482" s="905" t="s">
        <v>480</v>
      </c>
      <c r="AC482" s="884"/>
      <c r="AD482" s="888"/>
      <c r="BR482" s="1019" t="s">
        <v>438</v>
      </c>
      <c r="BS482" s="1019" t="s">
        <v>438</v>
      </c>
      <c r="BT482" s="1019" t="s">
        <v>584</v>
      </c>
      <c r="BU482" s="1019" t="s">
        <v>976</v>
      </c>
    </row>
    <row r="483" spans="2:73" ht="12" x14ac:dyDescent="0.4">
      <c r="C483" s="882"/>
      <c r="D483" s="754"/>
      <c r="E483" s="754"/>
      <c r="F483" s="754"/>
      <c r="G483" s="754"/>
      <c r="H483" s="754"/>
      <c r="I483" s="754"/>
      <c r="J483" s="754"/>
      <c r="K483" s="754"/>
      <c r="L483" s="754"/>
      <c r="M483" s="754"/>
      <c r="N483" s="754"/>
      <c r="O483" s="754"/>
      <c r="P483" s="754"/>
      <c r="Q483" s="754"/>
      <c r="R483" s="754"/>
      <c r="S483" s="754"/>
      <c r="T483" s="754"/>
      <c r="U483" s="754"/>
      <c r="V483" s="754"/>
      <c r="W483" s="754"/>
      <c r="X483" s="754"/>
      <c r="Y483" s="754"/>
      <c r="Z483" s="754"/>
      <c r="AA483" s="754"/>
      <c r="AB483" s="754"/>
      <c r="AC483" s="754"/>
      <c r="AD483" s="889"/>
      <c r="BR483" s="1019" t="s">
        <v>973</v>
      </c>
      <c r="BS483" s="1019" t="s">
        <v>448</v>
      </c>
      <c r="BT483" s="1019" t="s">
        <v>539</v>
      </c>
      <c r="BU483" s="1019" t="s">
        <v>977</v>
      </c>
    </row>
    <row r="484" spans="2:73" ht="12" x14ac:dyDescent="0.4">
      <c r="C484" s="882"/>
      <c r="D484" s="754"/>
      <c r="E484" s="754"/>
      <c r="F484" s="754"/>
      <c r="G484" s="754"/>
      <c r="H484" s="754"/>
      <c r="I484" s="754"/>
      <c r="J484" s="754"/>
      <c r="K484" s="754"/>
      <c r="L484" s="754"/>
      <c r="M484" s="754"/>
      <c r="N484" s="754"/>
      <c r="O484" s="754"/>
      <c r="P484" s="754"/>
      <c r="Q484" s="754"/>
      <c r="R484" s="754"/>
      <c r="S484" s="754"/>
      <c r="T484" s="754"/>
      <c r="U484" s="754"/>
      <c r="V484" s="754"/>
      <c r="W484" s="754"/>
      <c r="X484" s="754"/>
      <c r="Y484" s="754"/>
      <c r="Z484" s="754"/>
      <c r="AA484" s="754"/>
      <c r="AB484" s="754"/>
      <c r="AC484" s="754"/>
      <c r="AD484" s="889"/>
      <c r="BR484" s="1019" t="s">
        <v>973</v>
      </c>
      <c r="BS484" s="1019" t="s">
        <v>448</v>
      </c>
      <c r="BT484" s="1019" t="s">
        <v>539</v>
      </c>
      <c r="BU484" s="1019" t="s">
        <v>978</v>
      </c>
    </row>
    <row r="485" spans="2:73" ht="12" x14ac:dyDescent="0.4">
      <c r="C485" s="882"/>
      <c r="D485" s="754"/>
      <c r="E485" s="754"/>
      <c r="F485" s="754"/>
      <c r="G485" s="754"/>
      <c r="H485" s="754"/>
      <c r="I485" s="754"/>
      <c r="J485" s="754"/>
      <c r="K485" s="754"/>
      <c r="L485" s="754"/>
      <c r="M485" s="754"/>
      <c r="N485" s="754"/>
      <c r="O485" s="754"/>
      <c r="P485" s="754"/>
      <c r="Q485" s="1071" t="str">
        <f>IF($AB$3="ON","↑","")</f>
        <v>↑</v>
      </c>
      <c r="R485" s="754"/>
      <c r="S485" s="754"/>
      <c r="T485" s="754"/>
      <c r="U485" s="754"/>
      <c r="V485" s="754"/>
      <c r="W485" s="754"/>
      <c r="X485" s="754"/>
      <c r="Y485" s="754"/>
      <c r="Z485" s="754"/>
      <c r="AA485" s="754"/>
      <c r="AB485" s="754"/>
      <c r="AC485" s="754"/>
      <c r="AD485" s="889"/>
      <c r="BR485" s="1019" t="s">
        <v>973</v>
      </c>
      <c r="BS485" s="1019" t="s">
        <v>448</v>
      </c>
      <c r="BT485" s="1019" t="s">
        <v>539</v>
      </c>
      <c r="BU485" s="1019" t="s">
        <v>670</v>
      </c>
    </row>
    <row r="486" spans="2:73" ht="12" x14ac:dyDescent="0.4">
      <c r="C486" s="882"/>
      <c r="D486" s="754"/>
      <c r="E486" s="754"/>
      <c r="F486" s="754"/>
      <c r="G486" s="754"/>
      <c r="H486" s="754"/>
      <c r="I486" s="754"/>
      <c r="J486" s="754"/>
      <c r="K486" s="754"/>
      <c r="L486" s="754"/>
      <c r="M486" s="754"/>
      <c r="N486" s="754"/>
      <c r="O486" s="754"/>
      <c r="P486" s="754"/>
      <c r="Q486" s="1071" t="str">
        <f>IF($AB$3="ON","↑","")</f>
        <v>↑</v>
      </c>
      <c r="R486" s="754"/>
      <c r="S486" s="754"/>
      <c r="T486" s="754"/>
      <c r="U486" s="754"/>
      <c r="V486" s="754"/>
      <c r="W486" s="754"/>
      <c r="X486" s="754"/>
      <c r="Y486" s="754"/>
      <c r="Z486" s="754"/>
      <c r="AA486" s="754"/>
      <c r="AB486" s="754"/>
      <c r="AC486" s="754"/>
      <c r="AD486" s="889"/>
      <c r="BR486" s="1019" t="s">
        <v>973</v>
      </c>
      <c r="BS486" s="1019" t="s">
        <v>448</v>
      </c>
      <c r="BT486" s="1019" t="s">
        <v>539</v>
      </c>
      <c r="BU486" s="1019" t="s">
        <v>979</v>
      </c>
    </row>
    <row r="487" spans="2:73" ht="12" x14ac:dyDescent="0.4">
      <c r="B487" s="125">
        <v>5</v>
      </c>
      <c r="C487" s="882"/>
      <c r="D487" s="754"/>
      <c r="E487" s="754"/>
      <c r="F487" s="754"/>
      <c r="G487" s="754"/>
      <c r="H487" s="898" t="s">
        <v>973</v>
      </c>
      <c r="I487" s="754"/>
      <c r="J487" s="754"/>
      <c r="K487" s="754"/>
      <c r="L487" s="754"/>
      <c r="M487" s="754"/>
      <c r="N487" s="754"/>
      <c r="O487" s="754"/>
      <c r="P487" s="898" t="s">
        <v>973</v>
      </c>
      <c r="Q487" s="754"/>
      <c r="R487" s="754"/>
      <c r="S487" s="754"/>
      <c r="T487" s="754"/>
      <c r="U487" s="754"/>
      <c r="V487" s="754"/>
      <c r="W487" s="754"/>
      <c r="X487" s="898" t="s">
        <v>973</v>
      </c>
      <c r="Y487" s="754"/>
      <c r="Z487" s="754"/>
      <c r="AA487" s="754"/>
      <c r="AB487" s="754"/>
      <c r="AC487" s="754"/>
      <c r="AD487" s="889"/>
      <c r="BR487" s="1019" t="s">
        <v>973</v>
      </c>
      <c r="BS487" s="1019" t="s">
        <v>448</v>
      </c>
      <c r="BT487" s="1019" t="s">
        <v>539</v>
      </c>
      <c r="BU487" s="1019" t="s">
        <v>980</v>
      </c>
    </row>
    <row r="488" spans="2:73" ht="12" x14ac:dyDescent="0.4">
      <c r="C488" s="882"/>
      <c r="D488" s="754"/>
      <c r="E488" s="754"/>
      <c r="F488" s="754"/>
      <c r="G488" s="754"/>
      <c r="H488" s="754"/>
      <c r="I488" s="754"/>
      <c r="J488" s="754"/>
      <c r="K488" s="754"/>
      <c r="L488" s="754"/>
      <c r="M488" s="754"/>
      <c r="N488" s="754"/>
      <c r="O488" s="754"/>
      <c r="P488" s="754"/>
      <c r="Q488" s="1071" t="str">
        <f t="shared" ref="Q488:Q495" si="26">IF($AB$3="ON","↑","")</f>
        <v>↑</v>
      </c>
      <c r="R488" s="754"/>
      <c r="S488" s="754"/>
      <c r="T488" s="754"/>
      <c r="U488" s="754"/>
      <c r="V488" s="754"/>
      <c r="W488" s="754"/>
      <c r="X488" s="754"/>
      <c r="Y488" s="754"/>
      <c r="Z488" s="754"/>
      <c r="AA488" s="754"/>
      <c r="AB488" s="754"/>
      <c r="AC488" s="754"/>
      <c r="AD488" s="889"/>
      <c r="BR488" s="1019" t="s">
        <v>973</v>
      </c>
      <c r="BS488" s="1019" t="s">
        <v>448</v>
      </c>
      <c r="BT488" s="1019" t="s">
        <v>539</v>
      </c>
      <c r="BU488" s="1019" t="s">
        <v>672</v>
      </c>
    </row>
    <row r="489" spans="2:73" ht="12" x14ac:dyDescent="0.4">
      <c r="C489" s="882"/>
      <c r="D489" s="754"/>
      <c r="E489" s="754"/>
      <c r="F489" s="754"/>
      <c r="G489" s="754"/>
      <c r="H489" s="754"/>
      <c r="I489" s="754"/>
      <c r="J489" s="754"/>
      <c r="K489" s="754"/>
      <c r="L489" s="754"/>
      <c r="M489" s="754"/>
      <c r="N489" s="754"/>
      <c r="O489" s="754"/>
      <c r="P489" s="754"/>
      <c r="Q489" s="1071" t="str">
        <f t="shared" si="26"/>
        <v>↑</v>
      </c>
      <c r="R489" s="754"/>
      <c r="S489" s="754"/>
      <c r="T489" s="754"/>
      <c r="U489" s="754"/>
      <c r="V489" s="754"/>
      <c r="W489" s="754"/>
      <c r="X489" s="754"/>
      <c r="Y489" s="754"/>
      <c r="Z489" s="754"/>
      <c r="AA489" s="754"/>
      <c r="AB489" s="754"/>
      <c r="AC489" s="754"/>
      <c r="AD489" s="889"/>
      <c r="BR489" s="1019" t="s">
        <v>460</v>
      </c>
      <c r="BS489" s="1019" t="s">
        <v>460</v>
      </c>
      <c r="BT489" s="1019" t="s">
        <v>584</v>
      </c>
      <c r="BU489" s="1019" t="s">
        <v>981</v>
      </c>
    </row>
    <row r="490" spans="2:73" ht="12" x14ac:dyDescent="0.4">
      <c r="C490" s="882"/>
      <c r="D490" s="754"/>
      <c r="E490" s="754"/>
      <c r="F490" s="754"/>
      <c r="G490" s="754"/>
      <c r="H490" s="754"/>
      <c r="I490" s="754"/>
      <c r="J490" s="754"/>
      <c r="K490" s="754"/>
      <c r="L490" s="754"/>
      <c r="M490" s="754"/>
      <c r="N490" s="754"/>
      <c r="O490" s="754"/>
      <c r="P490" s="754"/>
      <c r="Q490" s="1071" t="str">
        <f t="shared" si="26"/>
        <v>↑</v>
      </c>
      <c r="R490" s="754"/>
      <c r="S490" s="754"/>
      <c r="T490" s="754"/>
      <c r="U490" s="754"/>
      <c r="V490" s="754"/>
      <c r="W490" s="754"/>
      <c r="X490" s="754"/>
      <c r="Y490" s="754"/>
      <c r="Z490" s="754"/>
      <c r="AA490" s="754"/>
      <c r="AB490" s="754"/>
      <c r="AC490" s="754"/>
      <c r="AD490" s="889"/>
      <c r="BR490" s="1019" t="s">
        <v>460</v>
      </c>
      <c r="BS490" s="1019" t="s">
        <v>460</v>
      </c>
      <c r="BT490" s="1019" t="s">
        <v>982</v>
      </c>
      <c r="BU490" s="1019" t="s">
        <v>983</v>
      </c>
    </row>
    <row r="491" spans="2:73" ht="12" x14ac:dyDescent="0.4">
      <c r="C491" s="882"/>
      <c r="D491" s="754"/>
      <c r="E491" s="754"/>
      <c r="F491" s="754"/>
      <c r="G491" s="754"/>
      <c r="H491" s="754"/>
      <c r="I491" s="754"/>
      <c r="J491" s="754"/>
      <c r="K491" s="881"/>
      <c r="L491" s="881"/>
      <c r="M491" s="881"/>
      <c r="N491" s="881"/>
      <c r="O491" s="195" t="s">
        <v>975</v>
      </c>
      <c r="P491" s="754"/>
      <c r="Q491" s="1071" t="str">
        <f t="shared" si="26"/>
        <v>↑</v>
      </c>
      <c r="R491" s="754"/>
      <c r="S491" s="754"/>
      <c r="T491" s="754"/>
      <c r="U491" s="754"/>
      <c r="V491" s="754"/>
      <c r="W491" s="754"/>
      <c r="X491" s="754"/>
      <c r="Y491" s="754"/>
      <c r="Z491" s="754"/>
      <c r="AA491" s="754"/>
      <c r="AB491" s="754"/>
      <c r="AC491" s="754"/>
      <c r="AD491" s="889"/>
      <c r="BR491" s="1019" t="s">
        <v>480</v>
      </c>
      <c r="BS491" s="1019" t="s">
        <v>480</v>
      </c>
      <c r="BT491" s="1019" t="s">
        <v>539</v>
      </c>
      <c r="BU491" s="1019" t="s">
        <v>696</v>
      </c>
    </row>
    <row r="492" spans="2:73" ht="12" x14ac:dyDescent="0.4">
      <c r="B492" s="125">
        <v>10</v>
      </c>
      <c r="C492" s="882"/>
      <c r="D492" s="754"/>
      <c r="E492" s="754"/>
      <c r="F492" s="754"/>
      <c r="G492" s="754"/>
      <c r="H492" s="754"/>
      <c r="I492" s="754"/>
      <c r="J492" s="762"/>
      <c r="K492" s="904" t="s">
        <v>460</v>
      </c>
      <c r="L492" s="899"/>
      <c r="M492" s="899"/>
      <c r="N492" s="902"/>
      <c r="O492" s="759"/>
      <c r="P492" s="754"/>
      <c r="Q492" s="1071" t="str">
        <f t="shared" si="26"/>
        <v>↑</v>
      </c>
      <c r="R492" s="754"/>
      <c r="S492" s="754"/>
      <c r="T492" s="754"/>
      <c r="U492" s="754"/>
      <c r="V492" s="754"/>
      <c r="W492" s="754"/>
      <c r="X492" s="754"/>
      <c r="Y492" s="754"/>
      <c r="Z492" s="754"/>
      <c r="AA492" s="754"/>
      <c r="AB492" s="754"/>
      <c r="AC492" s="754"/>
      <c r="AD492" s="889"/>
      <c r="BR492" s="1019" t="s">
        <v>480</v>
      </c>
      <c r="BS492" s="1019" t="s">
        <v>480</v>
      </c>
      <c r="BT492" s="1019" t="s">
        <v>539</v>
      </c>
      <c r="BU492" s="1019" t="s">
        <v>984</v>
      </c>
    </row>
    <row r="493" spans="2:73" ht="12" x14ac:dyDescent="0.4">
      <c r="C493" s="882"/>
      <c r="D493" s="754"/>
      <c r="E493" s="754"/>
      <c r="F493" s="754"/>
      <c r="G493" s="754"/>
      <c r="H493" s="754"/>
      <c r="I493" s="754"/>
      <c r="J493" s="762"/>
      <c r="K493" s="900"/>
      <c r="L493" s="901"/>
      <c r="M493" s="901"/>
      <c r="N493" s="903"/>
      <c r="O493" s="759"/>
      <c r="P493" s="754"/>
      <c r="Q493" s="1071" t="str">
        <f t="shared" si="26"/>
        <v>↑</v>
      </c>
      <c r="R493" s="754"/>
      <c r="S493" s="754"/>
      <c r="T493" s="754"/>
      <c r="U493" s="754"/>
      <c r="V493" s="754"/>
      <c r="W493" s="754"/>
      <c r="X493" s="754"/>
      <c r="Y493" s="754"/>
      <c r="Z493" s="754"/>
      <c r="AA493" s="754"/>
      <c r="AB493" s="754"/>
      <c r="AC493" s="754"/>
      <c r="AD493" s="889"/>
      <c r="BR493" s="1019" t="s">
        <v>974</v>
      </c>
      <c r="BS493" s="1019" t="s">
        <v>442</v>
      </c>
      <c r="BT493" s="1019" t="s">
        <v>565</v>
      </c>
      <c r="BU493" s="1019" t="s">
        <v>985</v>
      </c>
    </row>
    <row r="494" spans="2:73" ht="12" x14ac:dyDescent="0.4">
      <c r="C494" s="882"/>
      <c r="D494" s="754"/>
      <c r="E494" s="754"/>
      <c r="F494" s="754"/>
      <c r="G494" s="754"/>
      <c r="H494" s="754"/>
      <c r="I494" s="754"/>
      <c r="J494" s="754"/>
      <c r="K494" s="880"/>
      <c r="L494" s="880"/>
      <c r="M494" s="880"/>
      <c r="N494" s="880"/>
      <c r="O494" s="754"/>
      <c r="P494" s="754"/>
      <c r="Q494" s="1071" t="str">
        <f t="shared" si="26"/>
        <v>↑</v>
      </c>
      <c r="R494" s="754"/>
      <c r="S494" s="195" t="s">
        <v>975</v>
      </c>
      <c r="T494" s="754"/>
      <c r="U494" s="754"/>
      <c r="V494" s="754"/>
      <c r="W494" s="754"/>
      <c r="X494" s="754"/>
      <c r="Y494" s="754"/>
      <c r="Z494" s="754"/>
      <c r="AA494" s="754"/>
      <c r="AB494" s="754"/>
      <c r="AC494" s="754"/>
      <c r="AD494" s="889"/>
      <c r="BR494" s="1019" t="s">
        <v>975</v>
      </c>
      <c r="BS494" s="1019" t="s">
        <v>96</v>
      </c>
      <c r="BT494" s="1019" t="s">
        <v>539</v>
      </c>
      <c r="BU494" s="1019" t="s">
        <v>986</v>
      </c>
    </row>
    <row r="495" spans="2:73" ht="12" x14ac:dyDescent="0.4">
      <c r="C495" s="882"/>
      <c r="D495" s="754"/>
      <c r="E495" s="754"/>
      <c r="F495" s="754"/>
      <c r="G495" s="754"/>
      <c r="H495" s="754"/>
      <c r="I495" s="754"/>
      <c r="J495" s="754"/>
      <c r="K495" s="754"/>
      <c r="L495" s="754"/>
      <c r="M495" s="754"/>
      <c r="N495" s="754"/>
      <c r="O495" s="754"/>
      <c r="P495" s="754"/>
      <c r="Q495" s="1071" t="str">
        <f t="shared" si="26"/>
        <v>↑</v>
      </c>
      <c r="R495" s="754"/>
      <c r="S495" s="754"/>
      <c r="T495" s="754"/>
      <c r="U495" s="754"/>
      <c r="V495" s="754"/>
      <c r="W495" s="754"/>
      <c r="X495" s="754"/>
      <c r="Y495" s="754"/>
      <c r="Z495" s="754"/>
      <c r="AA495" s="754"/>
      <c r="AB495" s="754"/>
      <c r="AC495" s="754"/>
      <c r="AD495" s="889"/>
      <c r="BR495" s="1019" t="s">
        <v>975</v>
      </c>
      <c r="BS495" s="1019" t="s">
        <v>96</v>
      </c>
      <c r="BT495" s="1019" t="s">
        <v>539</v>
      </c>
      <c r="BU495" s="1019" t="s">
        <v>637</v>
      </c>
    </row>
    <row r="496" spans="2:73" x14ac:dyDescent="0.4">
      <c r="C496" s="882"/>
      <c r="D496" s="754"/>
      <c r="E496" s="754"/>
      <c r="F496" s="754"/>
      <c r="G496" s="754"/>
      <c r="H496" s="898" t="s">
        <v>973</v>
      </c>
      <c r="I496" s="754"/>
      <c r="J496" s="754"/>
      <c r="K496" s="754"/>
      <c r="L496" s="754"/>
      <c r="M496" s="754"/>
      <c r="N496" s="754"/>
      <c r="O496" s="754"/>
      <c r="P496" s="898" t="s">
        <v>973</v>
      </c>
      <c r="Q496" s="754"/>
      <c r="R496" s="754"/>
      <c r="S496" s="754"/>
      <c r="T496" s="754"/>
      <c r="U496" s="754"/>
      <c r="V496" s="754"/>
      <c r="W496" s="754"/>
      <c r="X496" s="898" t="s">
        <v>973</v>
      </c>
      <c r="Y496" s="754"/>
      <c r="Z496" s="754"/>
      <c r="AA496" s="754"/>
      <c r="AB496" s="754"/>
      <c r="AC496" s="754"/>
      <c r="AD496" s="889"/>
    </row>
    <row r="497" spans="2:73" ht="12" x14ac:dyDescent="0.4">
      <c r="B497" s="125">
        <v>15</v>
      </c>
      <c r="C497" s="882"/>
      <c r="D497" s="754"/>
      <c r="E497" s="754"/>
      <c r="F497" s="754"/>
      <c r="G497" s="754"/>
      <c r="H497" s="754"/>
      <c r="I497" s="754"/>
      <c r="J497" s="754"/>
      <c r="K497" s="754"/>
      <c r="L497" s="754"/>
      <c r="M497" s="754"/>
      <c r="N497" s="754"/>
      <c r="O497" s="754"/>
      <c r="P497" s="754"/>
      <c r="Q497" s="1071" t="str">
        <f t="shared" ref="Q497:Q503" si="27">IF($AB$3="ON","↑","")</f>
        <v>↑</v>
      </c>
      <c r="R497" s="754"/>
      <c r="S497" s="881"/>
      <c r="T497" s="881"/>
      <c r="U497" s="881"/>
      <c r="V497" s="881"/>
      <c r="W497" s="881"/>
      <c r="X497" s="754"/>
      <c r="Y497" s="754"/>
      <c r="Z497" s="754"/>
      <c r="AA497" s="754"/>
      <c r="AB497" s="754"/>
      <c r="AC497" s="754"/>
      <c r="AD497" s="889"/>
    </row>
    <row r="498" spans="2:73" ht="12" x14ac:dyDescent="0.4">
      <c r="C498" s="882"/>
      <c r="D498" s="754"/>
      <c r="E498" s="754"/>
      <c r="F498" s="754"/>
      <c r="G498" s="754"/>
      <c r="H498" s="754"/>
      <c r="I498" s="754"/>
      <c r="J498" s="754"/>
      <c r="K498" s="754"/>
      <c r="L498" s="754"/>
      <c r="M498" s="754"/>
      <c r="N498" s="754"/>
      <c r="O498" s="754"/>
      <c r="P498" s="754"/>
      <c r="Q498" s="1071" t="str">
        <f t="shared" si="27"/>
        <v>↑</v>
      </c>
      <c r="R498" s="762"/>
      <c r="S498" s="904" t="s">
        <v>460</v>
      </c>
      <c r="T498" s="899"/>
      <c r="U498" s="899"/>
      <c r="V498" s="899"/>
      <c r="W498" s="902"/>
      <c r="X498" s="759"/>
      <c r="Y498" s="754"/>
      <c r="Z498" s="754"/>
      <c r="AA498" s="754"/>
      <c r="AB498" s="754"/>
      <c r="AC498" s="754"/>
      <c r="AD498" s="889"/>
    </row>
    <row r="499" spans="2:73" ht="12" x14ac:dyDescent="0.4">
      <c r="C499" s="882"/>
      <c r="D499" s="881"/>
      <c r="E499" s="881"/>
      <c r="F499" s="881"/>
      <c r="G499" s="754"/>
      <c r="H499" s="754"/>
      <c r="I499" s="754"/>
      <c r="J499" s="754"/>
      <c r="K499" s="754"/>
      <c r="L499" s="754"/>
      <c r="M499" s="754"/>
      <c r="N499" s="754"/>
      <c r="O499" s="754"/>
      <c r="P499" s="754"/>
      <c r="Q499" s="1071" t="str">
        <f t="shared" si="27"/>
        <v>↑</v>
      </c>
      <c r="R499" s="762"/>
      <c r="S499" s="900"/>
      <c r="T499" s="901"/>
      <c r="U499" s="901"/>
      <c r="V499" s="901"/>
      <c r="W499" s="903"/>
      <c r="X499" s="759"/>
      <c r="Y499" s="754"/>
      <c r="Z499" s="754"/>
      <c r="AA499" s="754"/>
      <c r="AB499" s="754"/>
      <c r="AC499" s="754"/>
      <c r="AD499" s="889"/>
    </row>
    <row r="500" spans="2:73" ht="12" x14ac:dyDescent="0.4">
      <c r="C500" s="906"/>
      <c r="D500" s="267" t="s">
        <v>974</v>
      </c>
      <c r="E500" s="229"/>
      <c r="F500" s="265"/>
      <c r="G500" s="759"/>
      <c r="H500" s="754"/>
      <c r="I500" s="754"/>
      <c r="J500" s="754"/>
      <c r="K500" s="754"/>
      <c r="L500" s="754"/>
      <c r="M500" s="754"/>
      <c r="N500" s="754"/>
      <c r="O500" s="754"/>
      <c r="P500" s="754"/>
      <c r="Q500" s="1071" t="str">
        <f t="shared" si="27"/>
        <v>↑</v>
      </c>
      <c r="R500" s="754"/>
      <c r="S500" s="880"/>
      <c r="T500" s="880"/>
      <c r="U500" s="880"/>
      <c r="V500" s="880"/>
      <c r="W500" s="880"/>
      <c r="X500" s="754"/>
      <c r="Y500" s="754"/>
      <c r="Z500" s="754"/>
      <c r="AA500" s="754"/>
      <c r="AB500" s="754"/>
      <c r="AC500" s="754"/>
      <c r="AD500" s="889"/>
    </row>
    <row r="501" spans="2:73" ht="12" x14ac:dyDescent="0.4">
      <c r="C501" s="906"/>
      <c r="D501" s="208"/>
      <c r="E501" s="207"/>
      <c r="F501" s="266"/>
      <c r="G501" s="759"/>
      <c r="H501" s="754"/>
      <c r="I501" s="754"/>
      <c r="J501" s="754"/>
      <c r="K501" s="754"/>
      <c r="L501" s="754"/>
      <c r="M501" s="754"/>
      <c r="N501" s="754"/>
      <c r="O501" s="754"/>
      <c r="P501" s="754"/>
      <c r="Q501" s="1071" t="str">
        <f t="shared" si="27"/>
        <v>↑</v>
      </c>
      <c r="R501" s="754"/>
      <c r="S501" s="754"/>
      <c r="T501" s="754"/>
      <c r="U501" s="754"/>
      <c r="V501" s="754"/>
      <c r="W501" s="754"/>
      <c r="X501" s="754"/>
      <c r="Y501" s="754"/>
      <c r="Z501" s="754"/>
      <c r="AA501" s="754"/>
      <c r="AB501" s="754"/>
      <c r="AC501" s="754"/>
      <c r="AD501" s="889"/>
    </row>
    <row r="502" spans="2:73" ht="12" x14ac:dyDescent="0.4">
      <c r="B502" s="125">
        <v>20</v>
      </c>
      <c r="C502" s="882"/>
      <c r="D502" s="880"/>
      <c r="E502" s="880"/>
      <c r="F502" s="880"/>
      <c r="G502" s="754"/>
      <c r="H502" s="754"/>
      <c r="I502" s="754"/>
      <c r="J502" s="754"/>
      <c r="K502" s="754"/>
      <c r="L502" s="754"/>
      <c r="M502" s="754"/>
      <c r="N502" s="754"/>
      <c r="O502" s="754"/>
      <c r="P502" s="754"/>
      <c r="Q502" s="1071" t="str">
        <f t="shared" si="27"/>
        <v>↑</v>
      </c>
      <c r="R502" s="754"/>
      <c r="S502" s="754"/>
      <c r="T502" s="754"/>
      <c r="U502" s="754"/>
      <c r="V502" s="754"/>
      <c r="W502" s="754"/>
      <c r="X502" s="754"/>
      <c r="Y502" s="754"/>
      <c r="Z502" s="754"/>
      <c r="AA502" s="754"/>
      <c r="AB502" s="754"/>
      <c r="AC502" s="754"/>
      <c r="AD502" s="889"/>
    </row>
    <row r="503" spans="2:73" ht="12" x14ac:dyDescent="0.4">
      <c r="C503" s="882"/>
      <c r="D503" s="754"/>
      <c r="E503" s="754"/>
      <c r="F503" s="754"/>
      <c r="G503" s="754"/>
      <c r="H503" s="754"/>
      <c r="I503" s="754"/>
      <c r="J503" s="754"/>
      <c r="K503" s="754"/>
      <c r="L503" s="754"/>
      <c r="M503" s="754"/>
      <c r="N503" s="754"/>
      <c r="O503" s="881"/>
      <c r="P503" s="881"/>
      <c r="Q503" s="1084" t="str">
        <f t="shared" si="27"/>
        <v>↑</v>
      </c>
      <c r="R503" s="881"/>
      <c r="S503" s="754"/>
      <c r="T503" s="754"/>
      <c r="U503" s="754"/>
      <c r="V503" s="754"/>
      <c r="W503" s="754"/>
      <c r="X503" s="754"/>
      <c r="Y503" s="754"/>
      <c r="Z503" s="754"/>
      <c r="AA503" s="754"/>
      <c r="AB503" s="754"/>
      <c r="AC503" s="754"/>
      <c r="AD503" s="889"/>
    </row>
    <row r="504" spans="2:73" x14ac:dyDescent="0.4">
      <c r="C504" s="882"/>
      <c r="D504" s="754"/>
      <c r="E504" s="754"/>
      <c r="F504" s="754"/>
      <c r="G504" s="754"/>
      <c r="H504" s="754"/>
      <c r="I504" s="754"/>
      <c r="J504" s="754"/>
      <c r="K504" s="754"/>
      <c r="L504" s="754"/>
      <c r="M504" s="754"/>
      <c r="N504" s="762"/>
      <c r="O504" s="897" t="s">
        <v>438</v>
      </c>
      <c r="P504" s="892"/>
      <c r="Q504" s="892"/>
      <c r="R504" s="895"/>
      <c r="S504" s="759"/>
      <c r="T504" s="754"/>
      <c r="U504" s="754"/>
      <c r="V504" s="754"/>
      <c r="W504" s="754"/>
      <c r="X504" s="754"/>
      <c r="Y504" s="754"/>
      <c r="Z504" s="754"/>
      <c r="AA504" s="754"/>
      <c r="AB504" s="754"/>
      <c r="AC504" s="754"/>
      <c r="AD504" s="889"/>
    </row>
    <row r="505" spans="2:73" ht="11.25" thickBot="1" x14ac:dyDescent="0.45">
      <c r="C505" s="885"/>
      <c r="D505" s="886"/>
      <c r="E505" s="886"/>
      <c r="F505" s="886"/>
      <c r="G505" s="886"/>
      <c r="H505" s="886"/>
      <c r="I505" s="886"/>
      <c r="J505" s="886"/>
      <c r="K505" s="886"/>
      <c r="L505" s="886"/>
      <c r="M505" s="886"/>
      <c r="N505" s="887"/>
      <c r="O505" s="893"/>
      <c r="P505" s="894"/>
      <c r="Q505" s="894"/>
      <c r="R505" s="896"/>
      <c r="S505" s="891"/>
      <c r="T505" s="886"/>
      <c r="U505" s="886"/>
      <c r="V505" s="886"/>
      <c r="W505" s="886"/>
      <c r="X505" s="886"/>
      <c r="Y505" s="886"/>
      <c r="Z505" s="886"/>
      <c r="AA505" s="886"/>
      <c r="AB505" s="886"/>
      <c r="AC505" s="886"/>
      <c r="AD505" s="890"/>
    </row>
    <row r="509" spans="2:73" ht="15.75" x14ac:dyDescent="0.4">
      <c r="B509" s="122" t="s">
        <v>987</v>
      </c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3" t="s">
        <v>988</v>
      </c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</row>
    <row r="511" spans="2:73" ht="12" x14ac:dyDescent="0.4">
      <c r="C511" s="125">
        <v>0</v>
      </c>
      <c r="H511" s="125">
        <v>5</v>
      </c>
      <c r="BR511" s="272" t="s">
        <v>310</v>
      </c>
      <c r="BS511" s="272" t="s">
        <v>529</v>
      </c>
      <c r="BT511" s="272" t="s">
        <v>530</v>
      </c>
      <c r="BU511" s="272" t="s">
        <v>531</v>
      </c>
    </row>
    <row r="512" spans="2:73" ht="12" x14ac:dyDescent="0.4">
      <c r="B512" s="125">
        <v>0</v>
      </c>
      <c r="C512" s="444" t="s">
        <v>989</v>
      </c>
      <c r="D512" s="442"/>
      <c r="E512" s="442"/>
      <c r="F512" s="442"/>
      <c r="G512" s="442"/>
      <c r="H512" s="442"/>
      <c r="I512" s="442"/>
      <c r="J512" s="442"/>
      <c r="K512" s="442"/>
      <c r="L512" s="443"/>
      <c r="BR512" s="1019" t="s">
        <v>989</v>
      </c>
      <c r="BS512" s="1019" t="s">
        <v>435</v>
      </c>
      <c r="BT512" s="1019" t="s">
        <v>780</v>
      </c>
      <c r="BU512" s="1019" t="s">
        <v>753</v>
      </c>
    </row>
    <row r="513" spans="2:73" ht="12" x14ac:dyDescent="0.4">
      <c r="C513" s="615"/>
      <c r="D513" s="607"/>
      <c r="E513" s="607"/>
      <c r="F513" s="607"/>
      <c r="G513" s="607"/>
      <c r="H513" s="607"/>
      <c r="I513" s="607"/>
      <c r="J513" s="607"/>
      <c r="K513" s="607"/>
      <c r="L513" s="626"/>
      <c r="BR513" s="1019" t="s">
        <v>262</v>
      </c>
      <c r="BS513" s="1019" t="s">
        <v>492</v>
      </c>
      <c r="BT513" s="1019" t="s">
        <v>539</v>
      </c>
      <c r="BU513" s="1019" t="s">
        <v>990</v>
      </c>
    </row>
    <row r="514" spans="2:73" ht="12" x14ac:dyDescent="0.4">
      <c r="C514" s="616"/>
      <c r="D514" s="610"/>
      <c r="E514" s="610"/>
      <c r="F514" s="610"/>
      <c r="G514" s="610"/>
      <c r="H514" s="907" t="s">
        <v>262</v>
      </c>
      <c r="I514" s="610"/>
      <c r="J514" s="610"/>
      <c r="K514" s="610"/>
      <c r="L514" s="624"/>
      <c r="BR514" s="1019" t="s">
        <v>448</v>
      </c>
      <c r="BS514" s="1019" t="s">
        <v>448</v>
      </c>
      <c r="BT514" s="1019" t="s">
        <v>539</v>
      </c>
      <c r="BU514" s="1019" t="s">
        <v>841</v>
      </c>
    </row>
    <row r="515" spans="2:73" ht="12" x14ac:dyDescent="0.4">
      <c r="C515" s="616"/>
      <c r="D515" s="610"/>
      <c r="E515" s="610"/>
      <c r="F515" s="610"/>
      <c r="G515" s="610"/>
      <c r="H515" s="1052" t="str">
        <f t="shared" ref="H515:H538" si="28">IF($AB$3="ON","↑","")</f>
        <v>↑</v>
      </c>
      <c r="I515" s="610"/>
      <c r="J515" s="610"/>
      <c r="K515" s="610"/>
      <c r="L515" s="624"/>
      <c r="BR515" s="1019" t="s">
        <v>448</v>
      </c>
      <c r="BS515" s="1019" t="s">
        <v>448</v>
      </c>
      <c r="BT515" s="1019" t="s">
        <v>539</v>
      </c>
      <c r="BU515" s="1019" t="s">
        <v>991</v>
      </c>
    </row>
    <row r="516" spans="2:73" ht="12" x14ac:dyDescent="0.4">
      <c r="C516" s="616"/>
      <c r="D516" s="898" t="s">
        <v>448</v>
      </c>
      <c r="E516" s="610"/>
      <c r="F516" s="610"/>
      <c r="G516" s="610"/>
      <c r="H516" s="1052" t="str">
        <f t="shared" si="28"/>
        <v>↑</v>
      </c>
      <c r="I516" s="610"/>
      <c r="J516" s="610"/>
      <c r="K516" s="610"/>
      <c r="L516" s="624"/>
      <c r="BR516" s="1019" t="s">
        <v>448</v>
      </c>
      <c r="BS516" s="1019" t="s">
        <v>448</v>
      </c>
      <c r="BT516" s="1019" t="s">
        <v>539</v>
      </c>
      <c r="BU516" s="1019" t="s">
        <v>878</v>
      </c>
    </row>
    <row r="517" spans="2:73" ht="12" x14ac:dyDescent="0.4">
      <c r="B517" s="125">
        <v>5</v>
      </c>
      <c r="C517" s="616"/>
      <c r="D517" s="610"/>
      <c r="E517" s="610"/>
      <c r="F517" s="610"/>
      <c r="G517" s="610"/>
      <c r="H517" s="1052" t="str">
        <f t="shared" si="28"/>
        <v>↑</v>
      </c>
      <c r="I517" s="610"/>
      <c r="J517" s="610"/>
      <c r="K517" s="610"/>
      <c r="L517" s="624"/>
      <c r="BR517" s="1019" t="s">
        <v>448</v>
      </c>
      <c r="BS517" s="1019" t="s">
        <v>448</v>
      </c>
      <c r="BT517" s="1019" t="s">
        <v>539</v>
      </c>
      <c r="BU517" s="1019" t="s">
        <v>992</v>
      </c>
    </row>
    <row r="518" spans="2:73" ht="12" x14ac:dyDescent="0.4">
      <c r="C518" s="616"/>
      <c r="D518" s="610"/>
      <c r="E518" s="610"/>
      <c r="F518" s="610"/>
      <c r="G518" s="610"/>
      <c r="H518" s="1052" t="str">
        <f t="shared" si="28"/>
        <v>↑</v>
      </c>
      <c r="I518" s="610"/>
      <c r="J518" s="610"/>
      <c r="K518" s="610"/>
      <c r="L518" s="624"/>
      <c r="BR518" s="1019" t="s">
        <v>448</v>
      </c>
      <c r="BS518" s="1019" t="s">
        <v>448</v>
      </c>
      <c r="BT518" s="1019" t="s">
        <v>539</v>
      </c>
      <c r="BU518" s="1019" t="s">
        <v>993</v>
      </c>
    </row>
    <row r="519" spans="2:73" ht="12" x14ac:dyDescent="0.4">
      <c r="C519" s="616"/>
      <c r="D519" s="610"/>
      <c r="E519" s="610"/>
      <c r="F519" s="610"/>
      <c r="G519" s="610"/>
      <c r="H519" s="1052" t="str">
        <f t="shared" si="28"/>
        <v>↑</v>
      </c>
      <c r="I519" s="610"/>
      <c r="J519" s="610"/>
      <c r="K519" s="610"/>
      <c r="L519" s="624"/>
      <c r="BR519" s="1019" t="s">
        <v>461</v>
      </c>
      <c r="BS519" s="1019" t="s">
        <v>461</v>
      </c>
      <c r="BT519" s="1019" t="s">
        <v>545</v>
      </c>
      <c r="BU519" s="1019" t="s">
        <v>994</v>
      </c>
    </row>
    <row r="520" spans="2:73" ht="12" x14ac:dyDescent="0.4">
      <c r="C520" s="616"/>
      <c r="D520" s="610"/>
      <c r="E520" s="610"/>
      <c r="F520" s="610"/>
      <c r="G520" s="610"/>
      <c r="H520" s="1052" t="str">
        <f t="shared" si="28"/>
        <v>↑</v>
      </c>
      <c r="I520" s="610"/>
      <c r="J520" s="610"/>
      <c r="K520" s="898" t="s">
        <v>448</v>
      </c>
      <c r="L520" s="624"/>
      <c r="BR520" s="1019" t="s">
        <v>508</v>
      </c>
      <c r="BS520" s="1019" t="s">
        <v>486</v>
      </c>
      <c r="BT520" s="1019" t="s">
        <v>539</v>
      </c>
      <c r="BU520" s="1019" t="s">
        <v>995</v>
      </c>
    </row>
    <row r="521" spans="2:73" ht="12" x14ac:dyDescent="0.4">
      <c r="C521" s="616"/>
      <c r="D521" s="610"/>
      <c r="E521" s="610"/>
      <c r="F521" s="610"/>
      <c r="G521" s="610"/>
      <c r="H521" s="1052" t="str">
        <f t="shared" si="28"/>
        <v>↑</v>
      </c>
      <c r="I521" s="610"/>
      <c r="J521" s="610"/>
      <c r="K521" s="610"/>
      <c r="L521" s="624"/>
    </row>
    <row r="522" spans="2:73" ht="12" x14ac:dyDescent="0.4">
      <c r="B522" s="125">
        <v>10</v>
      </c>
      <c r="C522" s="616"/>
      <c r="D522" s="610"/>
      <c r="E522" s="610"/>
      <c r="F522" s="610"/>
      <c r="G522" s="610"/>
      <c r="H522" s="1052" t="str">
        <f t="shared" si="28"/>
        <v>↑</v>
      </c>
      <c r="I522" s="610"/>
      <c r="J522" s="610"/>
      <c r="K522" s="610"/>
      <c r="L522" s="624"/>
    </row>
    <row r="523" spans="2:73" ht="12" x14ac:dyDescent="0.4">
      <c r="C523" s="616"/>
      <c r="D523" s="610"/>
      <c r="E523" s="610"/>
      <c r="F523" s="610"/>
      <c r="G523" s="610"/>
      <c r="H523" s="1052" t="str">
        <f t="shared" si="28"/>
        <v>↑</v>
      </c>
      <c r="I523" s="610"/>
      <c r="J523" s="610"/>
      <c r="K523" s="610"/>
      <c r="L523" s="624"/>
    </row>
    <row r="524" spans="2:73" ht="12" x14ac:dyDescent="0.4">
      <c r="C524" s="616"/>
      <c r="D524" s="898" t="s">
        <v>448</v>
      </c>
      <c r="E524" s="610"/>
      <c r="F524" s="610"/>
      <c r="G524" s="610"/>
      <c r="H524" s="1052" t="str">
        <f t="shared" si="28"/>
        <v>↑</v>
      </c>
      <c r="I524" s="610"/>
      <c r="J524" s="610"/>
      <c r="K524" s="610"/>
      <c r="L524" s="624"/>
    </row>
    <row r="525" spans="2:73" ht="12" x14ac:dyDescent="0.4">
      <c r="C525" s="616"/>
      <c r="D525" s="610"/>
      <c r="E525" s="610"/>
      <c r="F525" s="610"/>
      <c r="G525" s="610"/>
      <c r="H525" s="1052" t="str">
        <f t="shared" si="28"/>
        <v>↑</v>
      </c>
      <c r="I525" s="610"/>
      <c r="J525" s="610"/>
      <c r="K525" s="610"/>
      <c r="L525" s="624"/>
    </row>
    <row r="526" spans="2:73" ht="12" x14ac:dyDescent="0.4">
      <c r="C526" s="616"/>
      <c r="D526" s="610"/>
      <c r="E526" s="610"/>
      <c r="F526" s="610"/>
      <c r="G526" s="610"/>
      <c r="H526" s="1052" t="str">
        <f t="shared" si="28"/>
        <v>↑</v>
      </c>
      <c r="I526" s="610"/>
      <c r="J526" s="610"/>
      <c r="K526" s="610"/>
      <c r="L526" s="624"/>
    </row>
    <row r="527" spans="2:73" ht="12" x14ac:dyDescent="0.4">
      <c r="B527" s="125">
        <v>15</v>
      </c>
      <c r="C527" s="616"/>
      <c r="D527" s="610"/>
      <c r="E527" s="610"/>
      <c r="F527" s="610"/>
      <c r="G527" s="610"/>
      <c r="H527" s="1052" t="str">
        <f t="shared" si="28"/>
        <v>↑</v>
      </c>
      <c r="I527" s="610"/>
      <c r="J527" s="610"/>
      <c r="K527" s="610"/>
      <c r="L527" s="624"/>
    </row>
    <row r="528" spans="2:73" ht="12" x14ac:dyDescent="0.4">
      <c r="C528" s="616"/>
      <c r="D528" s="610"/>
      <c r="E528" s="610"/>
      <c r="F528" s="610"/>
      <c r="G528" s="610"/>
      <c r="H528" s="1052" t="str">
        <f t="shared" si="28"/>
        <v>↑</v>
      </c>
      <c r="I528" s="610"/>
      <c r="J528" s="610"/>
      <c r="K528" s="898" t="s">
        <v>448</v>
      </c>
      <c r="L528" s="624"/>
    </row>
    <row r="529" spans="2:73" ht="12" x14ac:dyDescent="0.4">
      <c r="C529" s="616"/>
      <c r="D529" s="610"/>
      <c r="E529" s="610"/>
      <c r="F529" s="610"/>
      <c r="G529" s="610"/>
      <c r="H529" s="1052" t="str">
        <f t="shared" si="28"/>
        <v>↑</v>
      </c>
      <c r="I529" s="610"/>
      <c r="J529" s="610"/>
      <c r="K529" s="610"/>
      <c r="L529" s="624"/>
    </row>
    <row r="530" spans="2:73" ht="12" x14ac:dyDescent="0.4">
      <c r="C530" s="616"/>
      <c r="D530" s="610"/>
      <c r="E530" s="610"/>
      <c r="F530" s="610"/>
      <c r="G530" s="610"/>
      <c r="H530" s="1052" t="str">
        <f t="shared" si="28"/>
        <v>↑</v>
      </c>
      <c r="I530" s="610"/>
      <c r="J530" s="610"/>
      <c r="K530" s="610"/>
      <c r="L530" s="624"/>
    </row>
    <row r="531" spans="2:73" ht="12" x14ac:dyDescent="0.4">
      <c r="C531" s="616"/>
      <c r="D531" s="610"/>
      <c r="E531" s="610"/>
      <c r="F531" s="610"/>
      <c r="G531" s="610"/>
      <c r="H531" s="1052" t="str">
        <f t="shared" si="28"/>
        <v>↑</v>
      </c>
      <c r="I531" s="610"/>
      <c r="J531" s="610"/>
      <c r="K531" s="610"/>
      <c r="L531" s="624"/>
    </row>
    <row r="532" spans="2:73" ht="12" x14ac:dyDescent="0.4">
      <c r="B532" s="125">
        <v>20</v>
      </c>
      <c r="C532" s="616"/>
      <c r="D532" s="898" t="s">
        <v>448</v>
      </c>
      <c r="E532" s="610"/>
      <c r="F532" s="610"/>
      <c r="G532" s="610"/>
      <c r="H532" s="1052" t="str">
        <f t="shared" si="28"/>
        <v>↑</v>
      </c>
      <c r="I532" s="610"/>
      <c r="J532" s="610"/>
      <c r="K532" s="610"/>
      <c r="L532" s="624"/>
    </row>
    <row r="533" spans="2:73" ht="12" x14ac:dyDescent="0.4">
      <c r="C533" s="616"/>
      <c r="D533" s="610"/>
      <c r="E533" s="610"/>
      <c r="F533" s="610"/>
      <c r="G533" s="610"/>
      <c r="H533" s="1052" t="str">
        <f t="shared" si="28"/>
        <v>↑</v>
      </c>
      <c r="I533" s="613"/>
      <c r="J533" s="613"/>
      <c r="K533" s="613"/>
      <c r="L533" s="624"/>
    </row>
    <row r="534" spans="2:73" ht="12" x14ac:dyDescent="0.4">
      <c r="C534" s="616"/>
      <c r="D534" s="610"/>
      <c r="E534" s="610"/>
      <c r="F534" s="610"/>
      <c r="G534" s="610"/>
      <c r="H534" s="1075" t="str">
        <f t="shared" si="28"/>
        <v>↑</v>
      </c>
      <c r="I534" s="910" t="s">
        <v>461</v>
      </c>
      <c r="J534" s="908"/>
      <c r="K534" s="909"/>
      <c r="L534" s="787"/>
    </row>
    <row r="535" spans="2:73" ht="12" x14ac:dyDescent="0.4">
      <c r="C535" s="616"/>
      <c r="D535" s="610"/>
      <c r="E535" s="610"/>
      <c r="F535" s="610"/>
      <c r="G535" s="610"/>
      <c r="H535" s="1052" t="str">
        <f t="shared" si="28"/>
        <v>↑</v>
      </c>
      <c r="I535" s="607"/>
      <c r="J535" s="607"/>
      <c r="K535" s="607"/>
      <c r="L535" s="624"/>
    </row>
    <row r="536" spans="2:73" ht="12" x14ac:dyDescent="0.4">
      <c r="C536" s="616"/>
      <c r="D536" s="610"/>
      <c r="E536" s="610"/>
      <c r="F536" s="610"/>
      <c r="G536" s="610"/>
      <c r="H536" s="1052" t="str">
        <f t="shared" si="28"/>
        <v>↑</v>
      </c>
      <c r="I536" s="610"/>
      <c r="J536" s="610"/>
      <c r="K536" s="610"/>
      <c r="L536" s="624"/>
    </row>
    <row r="537" spans="2:73" ht="12" x14ac:dyDescent="0.4">
      <c r="B537" s="125">
        <v>25</v>
      </c>
      <c r="C537" s="616"/>
      <c r="D537" s="610"/>
      <c r="E537" s="610"/>
      <c r="F537" s="610"/>
      <c r="G537" s="610"/>
      <c r="H537" s="1052" t="str">
        <f t="shared" si="28"/>
        <v>↑</v>
      </c>
      <c r="I537" s="610"/>
      <c r="J537" s="610"/>
      <c r="K537" s="610"/>
      <c r="L537" s="624"/>
    </row>
    <row r="538" spans="2:73" ht="12" x14ac:dyDescent="0.4">
      <c r="C538" s="616"/>
      <c r="D538" s="610"/>
      <c r="E538" s="610"/>
      <c r="F538" s="610"/>
      <c r="G538" s="610"/>
      <c r="H538" s="1052" t="str">
        <f t="shared" si="28"/>
        <v>↑</v>
      </c>
      <c r="I538" s="610"/>
      <c r="J538" s="610"/>
      <c r="K538" s="610"/>
      <c r="L538" s="624"/>
    </row>
    <row r="539" spans="2:73" ht="11.25" thickBot="1" x14ac:dyDescent="0.45">
      <c r="C539" s="620"/>
      <c r="D539" s="621"/>
      <c r="E539" s="621"/>
      <c r="F539" s="621"/>
      <c r="G539" s="621"/>
      <c r="H539" s="643" t="s">
        <v>508</v>
      </c>
      <c r="I539" s="621"/>
      <c r="J539" s="621"/>
      <c r="K539" s="621"/>
      <c r="L539" s="625"/>
    </row>
    <row r="543" spans="2:73" ht="15.75" x14ac:dyDescent="0.4">
      <c r="B543" s="122" t="s">
        <v>996</v>
      </c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3" t="s">
        <v>997</v>
      </c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</row>
    <row r="544" spans="2:73" ht="12" x14ac:dyDescent="0.4">
      <c r="B544" s="124" t="s">
        <v>998</v>
      </c>
    </row>
    <row r="545" spans="2:73" ht="12.75" thickBot="1" x14ac:dyDescent="0.45">
      <c r="C545" s="125">
        <v>0</v>
      </c>
      <c r="H545" s="125">
        <v>5</v>
      </c>
      <c r="M545" s="125">
        <v>10</v>
      </c>
      <c r="R545" s="125">
        <v>15</v>
      </c>
      <c r="W545" s="125">
        <v>20</v>
      </c>
      <c r="AB545" s="125">
        <v>25</v>
      </c>
      <c r="BR545" s="272" t="s">
        <v>310</v>
      </c>
      <c r="BS545" s="272" t="s">
        <v>529</v>
      </c>
      <c r="BT545" s="272" t="s">
        <v>530</v>
      </c>
      <c r="BU545" s="272" t="s">
        <v>531</v>
      </c>
    </row>
    <row r="546" spans="2:73" ht="12" x14ac:dyDescent="0.4">
      <c r="B546" s="125">
        <v>0</v>
      </c>
      <c r="C546" s="655"/>
      <c r="D546" s="657"/>
      <c r="E546" s="912" t="s">
        <v>999</v>
      </c>
      <c r="F546" s="911"/>
      <c r="G546" s="911"/>
      <c r="H546" s="911"/>
      <c r="I546" s="911"/>
      <c r="J546" s="911"/>
      <c r="K546" s="911"/>
      <c r="L546" s="911"/>
      <c r="M546" s="911"/>
      <c r="N546" s="911"/>
      <c r="O546" s="911"/>
      <c r="P546" s="911"/>
      <c r="Q546" s="913" t="s">
        <v>869</v>
      </c>
      <c r="R546" s="911"/>
      <c r="S546" s="911"/>
      <c r="T546" s="911"/>
      <c r="U546" s="911"/>
      <c r="V546" s="911"/>
      <c r="W546" s="911"/>
      <c r="X546" s="911"/>
      <c r="Y546" s="926"/>
      <c r="Z546" s="926"/>
      <c r="AA546" s="926"/>
      <c r="AB546" s="926"/>
      <c r="AC546" s="914" t="s">
        <v>869</v>
      </c>
      <c r="AD546" s="927"/>
      <c r="AE546" s="928"/>
      <c r="AF546" s="929"/>
      <c r="BR546" s="1019" t="s">
        <v>478</v>
      </c>
      <c r="BS546" s="1019" t="s">
        <v>478</v>
      </c>
      <c r="BT546" s="1019" t="s">
        <v>1004</v>
      </c>
      <c r="BU546" s="1019" t="s">
        <v>696</v>
      </c>
    </row>
    <row r="547" spans="2:73" ht="12" x14ac:dyDescent="0.4">
      <c r="C547" s="653"/>
      <c r="D547" s="565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46"/>
      <c r="P547" s="646"/>
      <c r="Q547" s="646"/>
      <c r="R547" s="646"/>
      <c r="S547" s="646"/>
      <c r="T547" s="646"/>
      <c r="U547" s="646"/>
      <c r="V547" s="646"/>
      <c r="W547" s="646"/>
      <c r="X547" s="647"/>
      <c r="Y547" s="180" t="s">
        <v>440</v>
      </c>
      <c r="Z547" s="171"/>
      <c r="AA547" s="171"/>
      <c r="AB547" s="177"/>
      <c r="AC547" s="931" t="s">
        <v>733</v>
      </c>
      <c r="AD547" s="180" t="s">
        <v>440</v>
      </c>
      <c r="AE547" s="171"/>
      <c r="AF547" s="177"/>
      <c r="BR547" s="1019" t="s">
        <v>869</v>
      </c>
      <c r="BS547" s="1019" t="s">
        <v>477</v>
      </c>
      <c r="BT547" s="1019" t="s">
        <v>539</v>
      </c>
      <c r="BU547" s="1019" t="s">
        <v>696</v>
      </c>
    </row>
    <row r="548" spans="2:73" ht="12" x14ac:dyDescent="0.4">
      <c r="C548" s="653"/>
      <c r="D548" s="565"/>
      <c r="E548" s="565"/>
      <c r="F548" s="565"/>
      <c r="G548" s="565"/>
      <c r="H548" s="565"/>
      <c r="I548" s="565"/>
      <c r="J548" s="565"/>
      <c r="K548" s="565"/>
      <c r="L548" s="565"/>
      <c r="M548" s="565"/>
      <c r="N548" s="565"/>
      <c r="O548" s="565"/>
      <c r="P548" s="565"/>
      <c r="Q548" s="565"/>
      <c r="R548" s="565"/>
      <c r="S548" s="565"/>
      <c r="T548" s="565"/>
      <c r="U548" s="565"/>
      <c r="V548" s="565"/>
      <c r="W548" s="565"/>
      <c r="X548" s="574"/>
      <c r="Y548" s="175"/>
      <c r="Z548" s="170"/>
      <c r="AA548" s="170"/>
      <c r="AB548" s="178"/>
      <c r="AC548" s="1087" t="str">
        <f>IF($AB$3="ON","↑","")</f>
        <v>↑</v>
      </c>
      <c r="AD548" s="175"/>
      <c r="AE548" s="170"/>
      <c r="AF548" s="178"/>
      <c r="BR548" s="1019" t="s">
        <v>869</v>
      </c>
      <c r="BS548" s="1019" t="s">
        <v>477</v>
      </c>
      <c r="BT548" s="1019" t="s">
        <v>539</v>
      </c>
      <c r="BU548" s="1019" t="s">
        <v>1005</v>
      </c>
    </row>
    <row r="549" spans="2:73" ht="12" x14ac:dyDescent="0.4">
      <c r="C549" s="653"/>
      <c r="D549" s="565"/>
      <c r="E549" s="565"/>
      <c r="F549" s="565"/>
      <c r="G549" s="650"/>
      <c r="H549" s="650"/>
      <c r="I549" s="650"/>
      <c r="J549" s="650"/>
      <c r="K549" s="565"/>
      <c r="L549" s="565"/>
      <c r="M549" s="565"/>
      <c r="N549" s="565"/>
      <c r="O549" s="565"/>
      <c r="P549" s="565"/>
      <c r="Q549" s="565"/>
      <c r="R549" s="565"/>
      <c r="S549" s="565"/>
      <c r="T549" s="565"/>
      <c r="U549" s="565"/>
      <c r="V549" s="565"/>
      <c r="W549" s="565"/>
      <c r="X549" s="574"/>
      <c r="Y549" s="175"/>
      <c r="Z549" s="170"/>
      <c r="AA549" s="170"/>
      <c r="AB549" s="178"/>
      <c r="AC549" s="1087" t="str">
        <f>IF($AB$3="ON","↑","")</f>
        <v>↑</v>
      </c>
      <c r="AD549" s="175"/>
      <c r="AE549" s="170"/>
      <c r="AF549" s="178"/>
      <c r="BR549" s="1019" t="s">
        <v>869</v>
      </c>
      <c r="BS549" s="1019" t="s">
        <v>477</v>
      </c>
      <c r="BT549" s="1019" t="s">
        <v>539</v>
      </c>
      <c r="BU549" s="1019" t="s">
        <v>888</v>
      </c>
    </row>
    <row r="550" spans="2:73" ht="12" x14ac:dyDescent="0.4">
      <c r="C550" s="653"/>
      <c r="D550" s="565"/>
      <c r="E550" s="565"/>
      <c r="F550" s="574"/>
      <c r="G550" s="920" t="s">
        <v>470</v>
      </c>
      <c r="H550" s="915"/>
      <c r="I550" s="915"/>
      <c r="J550" s="918"/>
      <c r="K550" s="648"/>
      <c r="L550" s="565"/>
      <c r="M550" s="565"/>
      <c r="N550" s="565"/>
      <c r="O550" s="565"/>
      <c r="P550" s="565"/>
      <c r="Q550" s="565"/>
      <c r="R550" s="565"/>
      <c r="S550" s="565"/>
      <c r="T550" s="565"/>
      <c r="U550" s="565"/>
      <c r="V550" s="565"/>
      <c r="W550" s="565"/>
      <c r="X550" s="574"/>
      <c r="Y550" s="175"/>
      <c r="Z550" s="170"/>
      <c r="AA550" s="170"/>
      <c r="AB550" s="178"/>
      <c r="AC550" s="1087" t="str">
        <f>IF($AB$3="ON","↑","")</f>
        <v>↑</v>
      </c>
      <c r="AD550" s="175"/>
      <c r="AE550" s="170"/>
      <c r="AF550" s="178"/>
      <c r="BR550" s="1019" t="s">
        <v>1000</v>
      </c>
      <c r="BS550" s="1019" t="s">
        <v>406</v>
      </c>
      <c r="BT550" s="1019" t="s">
        <v>1006</v>
      </c>
      <c r="BU550" s="1019" t="s">
        <v>907</v>
      </c>
    </row>
    <row r="551" spans="2:73" ht="12" x14ac:dyDescent="0.4">
      <c r="B551" s="125">
        <v>5</v>
      </c>
      <c r="C551" s="653"/>
      <c r="D551" s="565"/>
      <c r="E551" s="565"/>
      <c r="F551" s="574"/>
      <c r="G551" s="916"/>
      <c r="H551" s="917"/>
      <c r="I551" s="917"/>
      <c r="J551" s="919"/>
      <c r="K551" s="648"/>
      <c r="L551" s="565"/>
      <c r="M551" s="565"/>
      <c r="N551" s="565"/>
      <c r="O551" s="565"/>
      <c r="P551" s="565"/>
      <c r="Q551" s="565"/>
      <c r="R551" s="565"/>
      <c r="S551" s="650"/>
      <c r="T551" s="650"/>
      <c r="U551" s="650"/>
      <c r="V551" s="650"/>
      <c r="W551" s="650"/>
      <c r="X551" s="574"/>
      <c r="Y551" s="175"/>
      <c r="Z551" s="170"/>
      <c r="AA551" s="170"/>
      <c r="AB551" s="178"/>
      <c r="AC551" s="1087" t="str">
        <f>IF($AB$3="ON","↑","")</f>
        <v>↑</v>
      </c>
      <c r="AD551" s="175"/>
      <c r="AE551" s="170"/>
      <c r="AF551" s="178"/>
      <c r="BR551" s="1019" t="s">
        <v>470</v>
      </c>
      <c r="BS551" s="1019" t="s">
        <v>470</v>
      </c>
      <c r="BT551" s="1019" t="s">
        <v>584</v>
      </c>
      <c r="BU551" s="1019" t="s">
        <v>1007</v>
      </c>
    </row>
    <row r="552" spans="2:73" ht="12" x14ac:dyDescent="0.4">
      <c r="C552" s="653"/>
      <c r="D552" s="565"/>
      <c r="E552" s="565"/>
      <c r="F552" s="565"/>
      <c r="G552" s="646"/>
      <c r="H552" s="646"/>
      <c r="I552" s="646"/>
      <c r="J552" s="646"/>
      <c r="K552" s="565"/>
      <c r="L552" s="565"/>
      <c r="M552" s="565"/>
      <c r="N552" s="565"/>
      <c r="O552" s="565"/>
      <c r="P552" s="565"/>
      <c r="Q552" s="565"/>
      <c r="R552" s="574"/>
      <c r="S552" s="920" t="s">
        <v>470</v>
      </c>
      <c r="T552" s="915"/>
      <c r="U552" s="915"/>
      <c r="V552" s="915"/>
      <c r="W552" s="918"/>
      <c r="X552" s="644"/>
      <c r="Y552" s="176"/>
      <c r="Z552" s="172"/>
      <c r="AA552" s="172"/>
      <c r="AB552" s="179"/>
      <c r="AC552" s="1087" t="str">
        <f>IF($AB$3="ON","↑","")</f>
        <v>↑</v>
      </c>
      <c r="AD552" s="176"/>
      <c r="AE552" s="172"/>
      <c r="AF552" s="179"/>
      <c r="BR552" s="1019" t="s">
        <v>470</v>
      </c>
      <c r="BS552" s="1019" t="s">
        <v>470</v>
      </c>
      <c r="BT552" s="1019" t="s">
        <v>982</v>
      </c>
      <c r="BU552" s="1019" t="s">
        <v>924</v>
      </c>
    </row>
    <row r="553" spans="2:73" ht="12" x14ac:dyDescent="0.4">
      <c r="C553" s="653"/>
      <c r="D553" s="565"/>
      <c r="E553" s="565"/>
      <c r="F553" s="565"/>
      <c r="G553" s="650"/>
      <c r="H553" s="650"/>
      <c r="I553" s="650"/>
      <c r="J553" s="650"/>
      <c r="K553" s="650"/>
      <c r="L553" s="650"/>
      <c r="M553" s="650"/>
      <c r="N553" s="650"/>
      <c r="O553" s="650"/>
      <c r="P553" s="650"/>
      <c r="Q553" s="650"/>
      <c r="R553" s="651"/>
      <c r="S553" s="916"/>
      <c r="T553" s="917"/>
      <c r="U553" s="917"/>
      <c r="V553" s="917"/>
      <c r="W553" s="919"/>
      <c r="X553" s="649"/>
      <c r="Y553" s="646"/>
      <c r="Z553" s="646"/>
      <c r="AA553" s="646"/>
      <c r="AB553" s="646"/>
      <c r="AC553" s="932" t="s">
        <v>1002</v>
      </c>
      <c r="AD553" s="646"/>
      <c r="AE553" s="930"/>
      <c r="AF553" s="699"/>
      <c r="BR553" s="1019" t="s">
        <v>470</v>
      </c>
      <c r="BS553" s="1019" t="s">
        <v>470</v>
      </c>
      <c r="BT553" s="1019" t="s">
        <v>982</v>
      </c>
      <c r="BU553" s="1019" t="s">
        <v>1008</v>
      </c>
    </row>
    <row r="554" spans="2:73" ht="12" x14ac:dyDescent="0.4">
      <c r="C554" s="653"/>
      <c r="D554" s="565"/>
      <c r="E554" s="565"/>
      <c r="F554" s="574"/>
      <c r="G554" s="436" t="s">
        <v>1000</v>
      </c>
      <c r="H554" s="431"/>
      <c r="I554" s="431"/>
      <c r="J554" s="431"/>
      <c r="K554" s="431"/>
      <c r="L554" s="431"/>
      <c r="M554" s="431"/>
      <c r="N554" s="431"/>
      <c r="O554" s="431"/>
      <c r="P554" s="431"/>
      <c r="Q554" s="431"/>
      <c r="R554" s="431"/>
      <c r="S554" s="127"/>
      <c r="T554" s="127"/>
      <c r="U554" s="127"/>
      <c r="V554" s="127"/>
      <c r="W554" s="127"/>
      <c r="X554" s="432"/>
      <c r="Y554" s="1057" t="str">
        <f>IF($AB$3="ON","→","")</f>
        <v>→</v>
      </c>
      <c r="Z554" s="1058" t="str">
        <f>IF($AB$3="ON","→","")</f>
        <v>→</v>
      </c>
      <c r="AA554" s="1058" t="str">
        <f>IF($AB$3="ON","→","")</f>
        <v>→</v>
      </c>
      <c r="AB554" s="1058" t="str">
        <f>IF($AB$3="ON","→","")</f>
        <v>→</v>
      </c>
      <c r="AC554" s="1058" t="str">
        <f>IF($AB$3="ON","↑","")</f>
        <v>↑</v>
      </c>
      <c r="AD554" s="574"/>
      <c r="AE554" s="370" t="s">
        <v>449</v>
      </c>
      <c r="AF554" s="925"/>
      <c r="BR554" s="1019" t="s">
        <v>1001</v>
      </c>
      <c r="BS554" s="1019" t="s">
        <v>481</v>
      </c>
      <c r="BT554" s="1019" t="s">
        <v>561</v>
      </c>
      <c r="BU554" s="1019" t="s">
        <v>1009</v>
      </c>
    </row>
    <row r="555" spans="2:73" ht="12" x14ac:dyDescent="0.4">
      <c r="C555" s="654"/>
      <c r="D555" s="565"/>
      <c r="E555" s="565"/>
      <c r="F555" s="574"/>
      <c r="G555" s="427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428"/>
      <c r="Y555" s="1057" t="str">
        <f t="shared" ref="Y555:Y562" si="29">IF($AB$3="ON","↑","")</f>
        <v>↑</v>
      </c>
      <c r="Z555" s="565"/>
      <c r="AA555" s="565"/>
      <c r="AB555" s="565"/>
      <c r="AC555" s="565"/>
      <c r="AD555" s="574"/>
      <c r="AE555" s="368"/>
      <c r="AF555" s="925"/>
      <c r="BR555" s="1019" t="s">
        <v>456</v>
      </c>
      <c r="BS555" s="1019" t="s">
        <v>456</v>
      </c>
      <c r="BT555" s="1019" t="s">
        <v>640</v>
      </c>
      <c r="BU555" s="1019" t="s">
        <v>715</v>
      </c>
    </row>
    <row r="556" spans="2:73" ht="12" x14ac:dyDescent="0.4">
      <c r="B556" s="125">
        <v>10</v>
      </c>
      <c r="C556" s="841" t="s">
        <v>456</v>
      </c>
      <c r="D556" s="648"/>
      <c r="E556" s="565"/>
      <c r="F556" s="574"/>
      <c r="G556" s="427"/>
      <c r="H556" s="130"/>
      <c r="I556" s="130"/>
      <c r="J556" s="130"/>
      <c r="K556" s="130"/>
      <c r="L556" s="130"/>
      <c r="M556" s="195" t="s">
        <v>96</v>
      </c>
      <c r="N556" s="130"/>
      <c r="O556" s="130"/>
      <c r="P556" s="130"/>
      <c r="Q556" s="130"/>
      <c r="R556" s="130"/>
      <c r="S556" s="130"/>
      <c r="T556" s="130"/>
      <c r="U556" s="936" t="s">
        <v>323</v>
      </c>
      <c r="V556" s="130"/>
      <c r="W556" s="130"/>
      <c r="X556" s="428"/>
      <c r="Y556" s="1057" t="str">
        <f t="shared" si="29"/>
        <v>↑</v>
      </c>
      <c r="Z556" s="565"/>
      <c r="AA556" s="565"/>
      <c r="AB556" s="565"/>
      <c r="AC556" s="565"/>
      <c r="AD556" s="574"/>
      <c r="AE556" s="368"/>
      <c r="AF556" s="925"/>
      <c r="BR556" s="1019" t="s">
        <v>449</v>
      </c>
      <c r="BS556" s="1019" t="s">
        <v>449</v>
      </c>
      <c r="BT556" s="1019" t="s">
        <v>1010</v>
      </c>
      <c r="BU556" s="1019" t="s">
        <v>1011</v>
      </c>
    </row>
    <row r="557" spans="2:73" ht="12" x14ac:dyDescent="0.4">
      <c r="C557" s="839"/>
      <c r="D557" s="648"/>
      <c r="E557" s="565"/>
      <c r="F557" s="574"/>
      <c r="G557" s="427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428"/>
      <c r="Y557" s="1057" t="str">
        <f t="shared" si="29"/>
        <v>↑</v>
      </c>
      <c r="Z557" s="565"/>
      <c r="AA557" s="565"/>
      <c r="AB557" s="565"/>
      <c r="AC557" s="565"/>
      <c r="AD557" s="574"/>
      <c r="AE557" s="368"/>
      <c r="AF557" s="925"/>
      <c r="BR557" s="1019" t="s">
        <v>440</v>
      </c>
      <c r="BS557" s="1019" t="s">
        <v>440</v>
      </c>
      <c r="BT557" s="1019" t="s">
        <v>745</v>
      </c>
      <c r="BU557" s="1019" t="s">
        <v>1012</v>
      </c>
    </row>
    <row r="558" spans="2:73" ht="12" x14ac:dyDescent="0.4">
      <c r="C558" s="839"/>
      <c r="D558" s="648"/>
      <c r="E558" s="565"/>
      <c r="F558" s="574"/>
      <c r="G558" s="427"/>
      <c r="H558" s="130"/>
      <c r="I558" s="130"/>
      <c r="J558" s="130"/>
      <c r="K558" s="130"/>
      <c r="L558" s="130"/>
      <c r="M558" s="130"/>
      <c r="N558" s="130"/>
      <c r="O558" s="130"/>
      <c r="P558" s="130"/>
      <c r="Q558" s="195" t="s">
        <v>96</v>
      </c>
      <c r="R558" s="130"/>
      <c r="S558" s="130"/>
      <c r="T558" s="130"/>
      <c r="U558" s="130"/>
      <c r="V558" s="130"/>
      <c r="W558" s="130"/>
      <c r="X558" s="428"/>
      <c r="Y558" s="1057" t="str">
        <f t="shared" si="29"/>
        <v>↑</v>
      </c>
      <c r="Z558" s="565"/>
      <c r="AA558" s="565"/>
      <c r="AB558" s="565"/>
      <c r="AC558" s="565"/>
      <c r="AD558" s="574"/>
      <c r="AE558" s="368"/>
      <c r="AF558" s="925"/>
      <c r="BR558" s="1019" t="s">
        <v>440</v>
      </c>
      <c r="BS558" s="1019" t="s">
        <v>440</v>
      </c>
      <c r="BT558" s="1019" t="s">
        <v>1013</v>
      </c>
      <c r="BU558" s="1019" t="s">
        <v>961</v>
      </c>
    </row>
    <row r="559" spans="2:73" ht="12" x14ac:dyDescent="0.4">
      <c r="C559" s="839"/>
      <c r="D559" s="648"/>
      <c r="E559" s="565"/>
      <c r="F559" s="574"/>
      <c r="G559" s="433"/>
      <c r="H559" s="434"/>
      <c r="I559" s="434"/>
      <c r="J559" s="434"/>
      <c r="K559" s="434"/>
      <c r="L559" s="434"/>
      <c r="M559" s="434"/>
      <c r="N559" s="434"/>
      <c r="O559" s="434"/>
      <c r="P559" s="434"/>
      <c r="Q559" s="434"/>
      <c r="R559" s="434"/>
      <c r="S559" s="434"/>
      <c r="T559" s="434"/>
      <c r="U559" s="434"/>
      <c r="V559" s="434"/>
      <c r="W559" s="434"/>
      <c r="X559" s="435"/>
      <c r="Y559" s="1057" t="str">
        <f t="shared" si="29"/>
        <v>↑</v>
      </c>
      <c r="Z559" s="565"/>
      <c r="AA559" s="565"/>
      <c r="AB559" s="565"/>
      <c r="AC559" s="565"/>
      <c r="AD559" s="574"/>
      <c r="AE559" s="368"/>
      <c r="AF559" s="925"/>
      <c r="BR559" s="1019" t="s">
        <v>733</v>
      </c>
      <c r="BS559" s="1019" t="s">
        <v>491</v>
      </c>
      <c r="BT559" s="1019" t="s">
        <v>539</v>
      </c>
      <c r="BU559" s="1019" t="s">
        <v>1014</v>
      </c>
    </row>
    <row r="560" spans="2:73" ht="12" x14ac:dyDescent="0.4">
      <c r="C560" s="839"/>
      <c r="D560" s="648"/>
      <c r="E560" s="565"/>
      <c r="F560" s="565"/>
      <c r="G560" s="646"/>
      <c r="H560" s="646"/>
      <c r="I560" s="646"/>
      <c r="J560" s="646"/>
      <c r="K560" s="646"/>
      <c r="L560" s="646"/>
      <c r="M560" s="646"/>
      <c r="N560" s="646"/>
      <c r="O560" s="646"/>
      <c r="P560" s="646"/>
      <c r="Q560" s="646"/>
      <c r="R560" s="646"/>
      <c r="S560" s="646"/>
      <c r="T560" s="646"/>
      <c r="U560" s="646"/>
      <c r="V560" s="646"/>
      <c r="W560" s="646"/>
      <c r="X560" s="646"/>
      <c r="Y560" s="1058" t="str">
        <f t="shared" si="29"/>
        <v>↑</v>
      </c>
      <c r="Z560" s="565"/>
      <c r="AA560" s="565"/>
      <c r="AB560" s="565"/>
      <c r="AC560" s="565"/>
      <c r="AD560" s="574"/>
      <c r="AE560" s="368"/>
      <c r="AF560" s="925"/>
      <c r="BR560" s="1019" t="s">
        <v>1003</v>
      </c>
      <c r="BS560" s="1019" t="s">
        <v>443</v>
      </c>
      <c r="BT560" s="1019" t="s">
        <v>545</v>
      </c>
      <c r="BU560" s="1019" t="s">
        <v>1015</v>
      </c>
    </row>
    <row r="561" spans="2:73" ht="12" x14ac:dyDescent="0.4">
      <c r="B561" s="125">
        <v>15</v>
      </c>
      <c r="C561" s="839"/>
      <c r="D561" s="648"/>
      <c r="E561" s="565"/>
      <c r="F561" s="565"/>
      <c r="G561" s="565"/>
      <c r="H561" s="565"/>
      <c r="I561" s="565"/>
      <c r="J561" s="565"/>
      <c r="K561" s="565"/>
      <c r="L561" s="565"/>
      <c r="M561" s="565"/>
      <c r="N561" s="565"/>
      <c r="O561" s="565"/>
      <c r="P561" s="565"/>
      <c r="Q561" s="565"/>
      <c r="R561" s="565"/>
      <c r="S561" s="565"/>
      <c r="T561" s="565"/>
      <c r="U561" s="565"/>
      <c r="V561" s="565"/>
      <c r="W561" s="565"/>
      <c r="X561" s="565"/>
      <c r="Y561" s="1058" t="str">
        <f t="shared" si="29"/>
        <v>↑</v>
      </c>
      <c r="Z561" s="565"/>
      <c r="AA561" s="565"/>
      <c r="AB561" s="565"/>
      <c r="AC561" s="565"/>
      <c r="AD561" s="574"/>
      <c r="AE561" s="368"/>
      <c r="AF561" s="925"/>
      <c r="BR561" s="1019" t="s">
        <v>278</v>
      </c>
      <c r="BS561" s="1019" t="s">
        <v>492</v>
      </c>
      <c r="BT561" s="1019" t="s">
        <v>539</v>
      </c>
      <c r="BU561" s="1019" t="s">
        <v>1016</v>
      </c>
    </row>
    <row r="562" spans="2:73" ht="12" x14ac:dyDescent="0.4">
      <c r="C562" s="839"/>
      <c r="D562" s="648"/>
      <c r="E562" s="565"/>
      <c r="F562" s="565"/>
      <c r="G562" s="565"/>
      <c r="H562" s="565"/>
      <c r="I562" s="565"/>
      <c r="J562" s="565"/>
      <c r="K562" s="565"/>
      <c r="L562" s="565"/>
      <c r="M562" s="1058" t="str">
        <f t="shared" ref="M562:X562" si="30">IF($AB$3="ON","→","")</f>
        <v>→</v>
      </c>
      <c r="N562" s="1058" t="str">
        <f t="shared" si="30"/>
        <v>→</v>
      </c>
      <c r="O562" s="1058" t="str">
        <f t="shared" si="30"/>
        <v>→</v>
      </c>
      <c r="P562" s="1058" t="str">
        <f t="shared" si="30"/>
        <v>→</v>
      </c>
      <c r="Q562" s="1058" t="str">
        <f t="shared" si="30"/>
        <v>→</v>
      </c>
      <c r="R562" s="1058" t="str">
        <f t="shared" si="30"/>
        <v>→</v>
      </c>
      <c r="S562" s="1058" t="str">
        <f t="shared" si="30"/>
        <v>→</v>
      </c>
      <c r="T562" s="1058" t="str">
        <f t="shared" si="30"/>
        <v>→</v>
      </c>
      <c r="U562" s="1058" t="str">
        <f t="shared" si="30"/>
        <v>→</v>
      </c>
      <c r="V562" s="1058" t="str">
        <f t="shared" si="30"/>
        <v>→</v>
      </c>
      <c r="W562" s="1058" t="str">
        <f t="shared" si="30"/>
        <v>→</v>
      </c>
      <c r="X562" s="1058" t="str">
        <f t="shared" si="30"/>
        <v>→</v>
      </c>
      <c r="Y562" s="1058" t="str">
        <f t="shared" si="29"/>
        <v>↑</v>
      </c>
      <c r="Z562" s="565"/>
      <c r="AA562" s="565"/>
      <c r="AB562" s="565"/>
      <c r="AC562" s="565"/>
      <c r="AD562" s="574"/>
      <c r="AE562" s="368"/>
      <c r="AF562" s="925"/>
      <c r="BR562" s="1019" t="s">
        <v>96</v>
      </c>
      <c r="BS562" s="1019" t="s">
        <v>96</v>
      </c>
      <c r="BT562" s="1019" t="s">
        <v>539</v>
      </c>
      <c r="BU562" s="1019" t="s">
        <v>895</v>
      </c>
    </row>
    <row r="563" spans="2:73" ht="12" x14ac:dyDescent="0.4">
      <c r="C563" s="840"/>
      <c r="D563" s="648"/>
      <c r="E563" s="565"/>
      <c r="F563" s="565"/>
      <c r="G563" s="565"/>
      <c r="H563" s="565"/>
      <c r="I563" s="565"/>
      <c r="J563" s="565"/>
      <c r="K563" s="650"/>
      <c r="L563" s="650"/>
      <c r="M563" s="1086" t="str">
        <f>IF($AB$3="ON","↑","")</f>
        <v>↑</v>
      </c>
      <c r="N563" s="650"/>
      <c r="O563" s="650"/>
      <c r="P563" s="565"/>
      <c r="Q563" s="565"/>
      <c r="R563" s="565"/>
      <c r="S563" s="565"/>
      <c r="T563" s="565"/>
      <c r="U563" s="565"/>
      <c r="V563" s="565"/>
      <c r="W563" s="565"/>
      <c r="X563" s="565"/>
      <c r="Y563" s="565"/>
      <c r="Z563" s="565"/>
      <c r="AA563" s="565"/>
      <c r="AB563" s="565"/>
      <c r="AC563" s="565"/>
      <c r="AD563" s="574"/>
      <c r="AE563" s="368"/>
      <c r="AF563" s="925"/>
      <c r="BR563" s="1019" t="s">
        <v>96</v>
      </c>
      <c r="BS563" s="1019" t="s">
        <v>96</v>
      </c>
      <c r="BT563" s="1019" t="s">
        <v>539</v>
      </c>
      <c r="BU563" s="1019" t="s">
        <v>725</v>
      </c>
    </row>
    <row r="564" spans="2:73" ht="12" x14ac:dyDescent="0.4">
      <c r="C564" s="652"/>
      <c r="D564" s="565"/>
      <c r="E564" s="565"/>
      <c r="F564" s="565"/>
      <c r="G564" s="565"/>
      <c r="H564" s="565"/>
      <c r="I564" s="565"/>
      <c r="J564" s="574"/>
      <c r="K564" s="920" t="s">
        <v>470</v>
      </c>
      <c r="L564" s="915"/>
      <c r="M564" s="915"/>
      <c r="N564" s="915"/>
      <c r="O564" s="918"/>
      <c r="P564" s="648"/>
      <c r="Q564" s="565"/>
      <c r="R564" s="565"/>
      <c r="S564" s="565"/>
      <c r="T564" s="565"/>
      <c r="U564" s="565"/>
      <c r="V564" s="565"/>
      <c r="W564" s="565"/>
      <c r="X564" s="565"/>
      <c r="Y564" s="565"/>
      <c r="Z564" s="565"/>
      <c r="AA564" s="565"/>
      <c r="AB564" s="565"/>
      <c r="AC564" s="565"/>
      <c r="AD564" s="574"/>
      <c r="AE564" s="368"/>
      <c r="AF564" s="925"/>
      <c r="BR564" s="1019" t="s">
        <v>323</v>
      </c>
      <c r="BS564" s="1019" t="s">
        <v>323</v>
      </c>
      <c r="BT564" s="1019" t="s">
        <v>539</v>
      </c>
      <c r="BU564" s="1019" t="s">
        <v>636</v>
      </c>
    </row>
    <row r="565" spans="2:73" ht="12" x14ac:dyDescent="0.4">
      <c r="C565" s="653"/>
      <c r="D565" s="565"/>
      <c r="E565" s="565"/>
      <c r="F565" s="565"/>
      <c r="G565" s="650"/>
      <c r="H565" s="650"/>
      <c r="I565" s="650"/>
      <c r="J565" s="574"/>
      <c r="K565" s="916"/>
      <c r="L565" s="917"/>
      <c r="M565" s="1085" t="str">
        <f>IF($AB$3="ON","↑","")</f>
        <v>↑</v>
      </c>
      <c r="N565" s="917"/>
      <c r="O565" s="919"/>
      <c r="P565" s="648"/>
      <c r="Q565" s="565"/>
      <c r="R565" s="565"/>
      <c r="S565" s="565"/>
      <c r="T565" s="565"/>
      <c r="U565" s="565"/>
      <c r="V565" s="565"/>
      <c r="W565" s="565"/>
      <c r="X565" s="565"/>
      <c r="Y565" s="565"/>
      <c r="Z565" s="565"/>
      <c r="AA565" s="565"/>
      <c r="AB565" s="565"/>
      <c r="AC565" s="565"/>
      <c r="AD565" s="574"/>
      <c r="AE565" s="369"/>
      <c r="AF565" s="925"/>
      <c r="BR565" s="1019" t="s">
        <v>508</v>
      </c>
      <c r="BS565" s="1019" t="s">
        <v>486</v>
      </c>
      <c r="BT565" s="1019" t="s">
        <v>539</v>
      </c>
      <c r="BU565" s="1019" t="s">
        <v>906</v>
      </c>
    </row>
    <row r="566" spans="2:73" ht="12" x14ac:dyDescent="0.4">
      <c r="B566" s="125">
        <v>20</v>
      </c>
      <c r="C566" s="653"/>
      <c r="D566" s="565"/>
      <c r="E566" s="565"/>
      <c r="F566" s="574"/>
      <c r="G566" s="935" t="s">
        <v>1003</v>
      </c>
      <c r="H566" s="933"/>
      <c r="I566" s="934"/>
      <c r="J566" s="648"/>
      <c r="K566" s="646"/>
      <c r="L566" s="646"/>
      <c r="M566" s="1062" t="str">
        <f>IF($AB$3="ON","↑","")</f>
        <v>↑</v>
      </c>
      <c r="N566" s="646"/>
      <c r="O566" s="646"/>
      <c r="P566" s="565"/>
      <c r="Q566" s="565"/>
      <c r="R566" s="565"/>
      <c r="S566" s="565"/>
      <c r="T566" s="565"/>
      <c r="U566" s="565"/>
      <c r="V566" s="565"/>
      <c r="W566" s="565"/>
      <c r="X566" s="565"/>
      <c r="Y566" s="565"/>
      <c r="Z566" s="565"/>
      <c r="AA566" s="565"/>
      <c r="AB566" s="565"/>
      <c r="AC566" s="565"/>
      <c r="AD566" s="565"/>
      <c r="AE566" s="646"/>
      <c r="AF566" s="661"/>
    </row>
    <row r="567" spans="2:73" ht="12" x14ac:dyDescent="0.4">
      <c r="C567" s="653"/>
      <c r="D567" s="565"/>
      <c r="E567" s="565"/>
      <c r="F567" s="907" t="s">
        <v>278</v>
      </c>
      <c r="G567" s="646"/>
      <c r="H567" s="646"/>
      <c r="I567" s="646"/>
      <c r="J567" s="565"/>
      <c r="K567" s="565"/>
      <c r="L567" s="565"/>
      <c r="M567" s="1058" t="str">
        <f>IF($AB$3="ON","↑","")</f>
        <v>↑</v>
      </c>
      <c r="N567" s="565"/>
      <c r="O567" s="565"/>
      <c r="P567" s="565"/>
      <c r="Q567" s="565"/>
      <c r="R567" s="565"/>
      <c r="S567" s="565"/>
      <c r="T567" s="565"/>
      <c r="U567" s="650"/>
      <c r="V567" s="650"/>
      <c r="W567" s="650"/>
      <c r="X567" s="650"/>
      <c r="Y567" s="650"/>
      <c r="Z567" s="650"/>
      <c r="AA567" s="650"/>
      <c r="AB567" s="650"/>
      <c r="AC567" s="565"/>
      <c r="AD567" s="565"/>
      <c r="AE567" s="565"/>
      <c r="AF567" s="661"/>
    </row>
    <row r="568" spans="2:73" ht="12" x14ac:dyDescent="0.4">
      <c r="C568" s="872" t="s">
        <v>508</v>
      </c>
      <c r="D568" s="1058" t="str">
        <f t="shared" ref="D568:L568" si="31">IF($AB$3="ON","→","")</f>
        <v>→</v>
      </c>
      <c r="E568" s="1058" t="str">
        <f t="shared" si="31"/>
        <v>→</v>
      </c>
      <c r="F568" s="1058" t="str">
        <f t="shared" si="31"/>
        <v>→</v>
      </c>
      <c r="G568" s="1058" t="str">
        <f t="shared" si="31"/>
        <v>→</v>
      </c>
      <c r="H568" s="1058" t="str">
        <f t="shared" si="31"/>
        <v>→</v>
      </c>
      <c r="I568" s="1058" t="str">
        <f t="shared" si="31"/>
        <v>→</v>
      </c>
      <c r="J568" s="1058" t="str">
        <f t="shared" si="31"/>
        <v>→</v>
      </c>
      <c r="K568" s="1058" t="str">
        <f t="shared" si="31"/>
        <v>→</v>
      </c>
      <c r="L568" s="1058" t="str">
        <f t="shared" si="31"/>
        <v>→</v>
      </c>
      <c r="M568" s="1058" t="str">
        <f>IF($AB$3="ON","↑","")</f>
        <v>↑</v>
      </c>
      <c r="N568" s="565"/>
      <c r="O568" s="565"/>
      <c r="P568" s="565"/>
      <c r="Q568" s="565"/>
      <c r="R568" s="565"/>
      <c r="S568" s="565"/>
      <c r="T568" s="574"/>
      <c r="U568" s="924" t="s">
        <v>1001</v>
      </c>
      <c r="V568" s="922"/>
      <c r="W568" s="922"/>
      <c r="X568" s="922"/>
      <c r="Y568" s="922"/>
      <c r="Z568" s="922"/>
      <c r="AA568" s="922"/>
      <c r="AB568" s="923"/>
      <c r="AC568" s="648"/>
      <c r="AD568" s="565"/>
      <c r="AE568" s="565"/>
      <c r="AF568" s="661"/>
    </row>
    <row r="569" spans="2:73" ht="11.25" thickBot="1" x14ac:dyDescent="0.45">
      <c r="C569" s="658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  <c r="O569" s="659"/>
      <c r="P569" s="659"/>
      <c r="Q569" s="659"/>
      <c r="R569" s="659"/>
      <c r="S569" s="659"/>
      <c r="T569" s="659"/>
      <c r="U569" s="921"/>
      <c r="V569" s="921"/>
      <c r="W569" s="921"/>
      <c r="X569" s="921"/>
      <c r="Y569" s="921"/>
      <c r="Z569" s="921"/>
      <c r="AA569" s="921"/>
      <c r="AB569" s="921"/>
      <c r="AC569" s="659"/>
      <c r="AD569" s="659"/>
      <c r="AE569" s="659"/>
      <c r="AF569" s="662"/>
    </row>
    <row r="573" spans="2:73" ht="15.75" x14ac:dyDescent="0.4">
      <c r="B573" s="122" t="s">
        <v>1017</v>
      </c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  <c r="AP573" s="121"/>
      <c r="AQ573" s="121"/>
      <c r="AR573" s="121"/>
      <c r="AS573" s="121"/>
      <c r="AT573" s="121"/>
      <c r="AU573" s="121"/>
      <c r="AV573" s="121"/>
      <c r="AW573" s="121"/>
      <c r="AX573" s="121"/>
      <c r="AY573" s="121"/>
      <c r="AZ573" s="121"/>
      <c r="BA573" s="121"/>
      <c r="BB573" s="121"/>
      <c r="BC573" s="121"/>
      <c r="BD573" s="121"/>
      <c r="BE573" s="121"/>
      <c r="BF573" s="121"/>
      <c r="BG573" s="121"/>
      <c r="BH573" s="121"/>
      <c r="BI573" s="121"/>
      <c r="BJ573" s="123" t="s">
        <v>1018</v>
      </c>
      <c r="BK573" s="121"/>
      <c r="BL573" s="121"/>
      <c r="BM573" s="121"/>
      <c r="BN573" s="121"/>
      <c r="BO573" s="121"/>
      <c r="BP573" s="121"/>
      <c r="BQ573" s="121"/>
      <c r="BR573" s="121"/>
      <c r="BS573" s="121"/>
      <c r="BT573" s="121"/>
      <c r="BU573" s="121"/>
    </row>
    <row r="575" spans="2:73" ht="12.75" thickBot="1" x14ac:dyDescent="0.45">
      <c r="C575" s="125">
        <v>0</v>
      </c>
      <c r="H575" s="125">
        <v>5</v>
      </c>
      <c r="BR575" s="272" t="s">
        <v>310</v>
      </c>
      <c r="BS575" s="272" t="s">
        <v>529</v>
      </c>
      <c r="BT575" s="272" t="s">
        <v>530</v>
      </c>
      <c r="BU575" s="272" t="s">
        <v>531</v>
      </c>
    </row>
    <row r="576" spans="2:73" ht="12" x14ac:dyDescent="0.4">
      <c r="B576" s="125">
        <v>0</v>
      </c>
      <c r="C576" s="751" t="s">
        <v>650</v>
      </c>
      <c r="D576" s="581"/>
      <c r="E576" s="138"/>
      <c r="F576" s="138"/>
      <c r="G576" s="139"/>
      <c r="H576" s="751" t="s">
        <v>650</v>
      </c>
      <c r="BR576" s="1019" t="s">
        <v>650</v>
      </c>
      <c r="BS576" s="1019" t="s">
        <v>435</v>
      </c>
      <c r="BT576" s="1019" t="s">
        <v>905</v>
      </c>
      <c r="BU576" s="1019" t="s">
        <v>753</v>
      </c>
    </row>
    <row r="577" spans="2:73" ht="12" x14ac:dyDescent="0.4">
      <c r="C577" s="749"/>
      <c r="D577" s="129"/>
      <c r="E577" s="130"/>
      <c r="F577" s="130"/>
      <c r="G577" s="131"/>
      <c r="H577" s="749"/>
      <c r="BR577" s="1019" t="s">
        <v>650</v>
      </c>
      <c r="BS577" s="1019" t="s">
        <v>435</v>
      </c>
      <c r="BT577" s="1019" t="s">
        <v>905</v>
      </c>
      <c r="BU577" s="1019" t="s">
        <v>968</v>
      </c>
    </row>
    <row r="578" spans="2:73" ht="12" x14ac:dyDescent="0.4">
      <c r="C578" s="749"/>
      <c r="D578" s="129"/>
      <c r="E578" s="130"/>
      <c r="F578" s="130"/>
      <c r="G578" s="131"/>
      <c r="H578" s="749"/>
      <c r="BR578" s="1019" t="s">
        <v>353</v>
      </c>
      <c r="BS578" s="1019" t="s">
        <v>353</v>
      </c>
      <c r="BT578" s="1019" t="s">
        <v>539</v>
      </c>
      <c r="BU578" s="1019" t="s">
        <v>743</v>
      </c>
    </row>
    <row r="579" spans="2:73" ht="12" x14ac:dyDescent="0.4">
      <c r="C579" s="749"/>
      <c r="D579" s="129"/>
      <c r="E579" s="130"/>
      <c r="F579" s="130"/>
      <c r="G579" s="131"/>
      <c r="H579" s="749"/>
      <c r="BR579" s="1019" t="s">
        <v>508</v>
      </c>
      <c r="BS579" s="1019" t="s">
        <v>486</v>
      </c>
      <c r="BT579" s="1019" t="s">
        <v>539</v>
      </c>
      <c r="BU579" s="1019" t="s">
        <v>845</v>
      </c>
    </row>
    <row r="580" spans="2:73" x14ac:dyDescent="0.4">
      <c r="C580" s="749"/>
      <c r="D580" s="129"/>
      <c r="E580" s="130"/>
      <c r="F580" s="130"/>
      <c r="G580" s="131"/>
      <c r="H580" s="749"/>
    </row>
    <row r="581" spans="2:73" x14ac:dyDescent="0.4">
      <c r="B581" s="125">
        <v>5</v>
      </c>
      <c r="C581" s="749"/>
      <c r="D581" s="129"/>
      <c r="E581" s="130"/>
      <c r="F581" s="130"/>
      <c r="G581" s="131"/>
      <c r="H581" s="749"/>
    </row>
    <row r="582" spans="2:73" x14ac:dyDescent="0.4">
      <c r="C582" s="749"/>
      <c r="D582" s="129"/>
      <c r="E582" s="130"/>
      <c r="F582" s="130"/>
      <c r="G582" s="131"/>
      <c r="H582" s="749"/>
    </row>
    <row r="583" spans="2:73" x14ac:dyDescent="0.4">
      <c r="C583" s="749"/>
      <c r="D583" s="129"/>
      <c r="E583" s="130"/>
      <c r="F583" s="130"/>
      <c r="G583" s="131"/>
      <c r="H583" s="749"/>
    </row>
    <row r="584" spans="2:73" x14ac:dyDescent="0.4">
      <c r="C584" s="749"/>
      <c r="D584" s="129"/>
      <c r="E584" s="130"/>
      <c r="F584" s="791" t="s">
        <v>353</v>
      </c>
      <c r="G584" s="131"/>
      <c r="H584" s="749"/>
    </row>
    <row r="585" spans="2:73" ht="12" x14ac:dyDescent="0.4">
      <c r="C585" s="749"/>
      <c r="D585" s="129"/>
      <c r="E585" s="130"/>
      <c r="F585" s="999" t="str">
        <f t="shared" ref="F585:F590" si="32">IF($AB$3="ON","↑","")</f>
        <v>↑</v>
      </c>
      <c r="G585" s="131"/>
      <c r="H585" s="749"/>
    </row>
    <row r="586" spans="2:73" ht="12" x14ac:dyDescent="0.4">
      <c r="B586" s="125">
        <v>10</v>
      </c>
      <c r="C586" s="749"/>
      <c r="D586" s="129"/>
      <c r="E586" s="130"/>
      <c r="F586" s="999" t="str">
        <f t="shared" si="32"/>
        <v>↑</v>
      </c>
      <c r="G586" s="131"/>
      <c r="H586" s="749"/>
    </row>
    <row r="587" spans="2:73" ht="12" x14ac:dyDescent="0.4">
      <c r="C587" s="749"/>
      <c r="D587" s="129"/>
      <c r="E587" s="130"/>
      <c r="F587" s="999" t="str">
        <f t="shared" si="32"/>
        <v>↑</v>
      </c>
      <c r="G587" s="131"/>
      <c r="H587" s="749"/>
    </row>
    <row r="588" spans="2:73" ht="12" x14ac:dyDescent="0.4">
      <c r="C588" s="749"/>
      <c r="D588" s="129"/>
      <c r="E588" s="130"/>
      <c r="F588" s="999" t="str">
        <f t="shared" si="32"/>
        <v>↑</v>
      </c>
      <c r="G588" s="131"/>
      <c r="H588" s="749"/>
    </row>
    <row r="589" spans="2:73" ht="12" x14ac:dyDescent="0.4">
      <c r="C589" s="749"/>
      <c r="D589" s="129"/>
      <c r="E589" s="130"/>
      <c r="F589" s="999" t="str">
        <f t="shared" si="32"/>
        <v>↑</v>
      </c>
      <c r="G589" s="131"/>
      <c r="H589" s="749"/>
    </row>
    <row r="590" spans="2:73" ht="12" x14ac:dyDescent="0.4">
      <c r="C590" s="749"/>
      <c r="D590" s="129"/>
      <c r="E590" s="130"/>
      <c r="F590" s="999" t="str">
        <f t="shared" si="32"/>
        <v>↑</v>
      </c>
      <c r="G590" s="131"/>
      <c r="H590" s="749"/>
    </row>
    <row r="591" spans="2:73" ht="11.25" thickBot="1" x14ac:dyDescent="0.45">
      <c r="B591" s="125">
        <v>15</v>
      </c>
      <c r="C591" s="750"/>
      <c r="D591" s="582"/>
      <c r="E591" s="140"/>
      <c r="F591" s="643" t="s">
        <v>508</v>
      </c>
      <c r="G591" s="141"/>
      <c r="H591" s="750"/>
    </row>
    <row r="595" spans="2:73" ht="15.75" x14ac:dyDescent="0.4">
      <c r="B595" s="122" t="s">
        <v>1019</v>
      </c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  <c r="AP595" s="121"/>
      <c r="AQ595" s="121"/>
      <c r="AR595" s="121"/>
      <c r="AS595" s="121"/>
      <c r="AT595" s="121"/>
      <c r="AU595" s="121"/>
      <c r="AV595" s="121"/>
      <c r="AW595" s="121"/>
      <c r="AX595" s="121"/>
      <c r="AY595" s="121"/>
      <c r="AZ595" s="121"/>
      <c r="BA595" s="121"/>
      <c r="BB595" s="121"/>
      <c r="BC595" s="121"/>
      <c r="BD595" s="121"/>
      <c r="BE595" s="121"/>
      <c r="BF595" s="121"/>
      <c r="BG595" s="121"/>
      <c r="BH595" s="121"/>
      <c r="BI595" s="121"/>
      <c r="BJ595" s="123" t="s">
        <v>1020</v>
      </c>
      <c r="BK595" s="121"/>
      <c r="BL595" s="121"/>
      <c r="BM595" s="121"/>
      <c r="BN595" s="121"/>
      <c r="BO595" s="121"/>
      <c r="BP595" s="121"/>
      <c r="BQ595" s="121"/>
      <c r="BR595" s="121"/>
      <c r="BS595" s="121"/>
      <c r="BT595" s="121"/>
      <c r="BU595" s="121"/>
    </row>
    <row r="597" spans="2:73" ht="12.75" thickBot="1" x14ac:dyDescent="0.45">
      <c r="C597" s="125">
        <v>0</v>
      </c>
      <c r="H597" s="125">
        <v>5</v>
      </c>
      <c r="BR597" s="272" t="s">
        <v>310</v>
      </c>
      <c r="BS597" s="272" t="s">
        <v>529</v>
      </c>
      <c r="BT597" s="272" t="s">
        <v>530</v>
      </c>
      <c r="BU597" s="272" t="s">
        <v>531</v>
      </c>
    </row>
    <row r="598" spans="2:73" ht="12" x14ac:dyDescent="0.4">
      <c r="B598" s="125">
        <v>0</v>
      </c>
      <c r="C598" s="370" t="s">
        <v>449</v>
      </c>
      <c r="D598" s="768"/>
      <c r="E598" s="618"/>
      <c r="F598" s="619"/>
      <c r="G598" s="631" t="s">
        <v>1021</v>
      </c>
      <c r="H598" s="629"/>
      <c r="I598" s="630"/>
      <c r="J598" s="768"/>
      <c r="K598" s="618"/>
      <c r="L598" s="623"/>
      <c r="BR598" s="1019" t="s">
        <v>1021</v>
      </c>
      <c r="BS598" s="1019" t="s">
        <v>493</v>
      </c>
      <c r="BT598" s="1019" t="s">
        <v>545</v>
      </c>
      <c r="BU598" s="1019" t="s">
        <v>746</v>
      </c>
    </row>
    <row r="599" spans="2:73" ht="12" x14ac:dyDescent="0.4">
      <c r="C599" s="368"/>
      <c r="D599" s="609"/>
      <c r="E599" s="610"/>
      <c r="F599" s="610"/>
      <c r="G599" s="1055" t="str">
        <f t="shared" ref="G599:G615" si="33">IF($AB$3="ON","↑","")</f>
        <v>↑</v>
      </c>
      <c r="H599" s="607"/>
      <c r="I599" s="607"/>
      <c r="J599" s="610"/>
      <c r="K599" s="610"/>
      <c r="L599" s="624"/>
      <c r="BR599" s="1019" t="s">
        <v>449</v>
      </c>
      <c r="BS599" s="1019" t="s">
        <v>449</v>
      </c>
      <c r="BT599" s="1019" t="s">
        <v>1022</v>
      </c>
      <c r="BU599" s="1019" t="s">
        <v>753</v>
      </c>
    </row>
    <row r="600" spans="2:73" ht="12" x14ac:dyDescent="0.4">
      <c r="C600" s="368"/>
      <c r="D600" s="609"/>
      <c r="E600" s="610"/>
      <c r="F600" s="610"/>
      <c r="G600" s="1052" t="str">
        <f t="shared" si="33"/>
        <v>↑</v>
      </c>
      <c r="H600" s="610"/>
      <c r="I600" s="610"/>
      <c r="J600" s="610"/>
      <c r="K600" s="610"/>
      <c r="L600" s="624"/>
      <c r="BR600" s="1019" t="s">
        <v>463</v>
      </c>
      <c r="BS600" s="1019" t="s">
        <v>463</v>
      </c>
      <c r="BT600" s="1019" t="s">
        <v>569</v>
      </c>
      <c r="BU600" s="1019" t="s">
        <v>892</v>
      </c>
    </row>
    <row r="601" spans="2:73" ht="12" x14ac:dyDescent="0.4">
      <c r="C601" s="368"/>
      <c r="D601" s="609"/>
      <c r="E601" s="610"/>
      <c r="F601" s="610"/>
      <c r="G601" s="1052" t="str">
        <f t="shared" si="33"/>
        <v>↑</v>
      </c>
      <c r="H601" s="610"/>
      <c r="I601" s="613"/>
      <c r="J601" s="613"/>
      <c r="K601" s="613"/>
      <c r="L601" s="641"/>
      <c r="BR601" s="1019" t="s">
        <v>463</v>
      </c>
      <c r="BS601" s="1019" t="s">
        <v>463</v>
      </c>
      <c r="BT601" s="1019" t="s">
        <v>569</v>
      </c>
      <c r="BU601" s="1019" t="s">
        <v>893</v>
      </c>
    </row>
    <row r="602" spans="2:73" ht="12" x14ac:dyDescent="0.4">
      <c r="C602" s="369"/>
      <c r="D602" s="609"/>
      <c r="E602" s="610"/>
      <c r="F602" s="610"/>
      <c r="G602" s="1052" t="str">
        <f t="shared" si="33"/>
        <v>↑</v>
      </c>
      <c r="H602" s="611"/>
      <c r="I602" s="589" t="s">
        <v>444</v>
      </c>
      <c r="J602" s="586"/>
      <c r="K602" s="587"/>
      <c r="L602" s="940" t="s">
        <v>421</v>
      </c>
      <c r="BR602" s="1019" t="s">
        <v>421</v>
      </c>
      <c r="BS602" s="1019" t="s">
        <v>421</v>
      </c>
      <c r="BT602" s="1019" t="s">
        <v>1010</v>
      </c>
      <c r="BU602" s="1019" t="s">
        <v>1023</v>
      </c>
    </row>
    <row r="603" spans="2:73" ht="12" x14ac:dyDescent="0.4">
      <c r="B603" s="125">
        <v>5</v>
      </c>
      <c r="C603" s="937"/>
      <c r="D603" s="610"/>
      <c r="E603" s="610"/>
      <c r="F603" s="610"/>
      <c r="G603" s="1052" t="str">
        <f t="shared" si="33"/>
        <v>↑</v>
      </c>
      <c r="H603" s="611"/>
      <c r="I603" s="188"/>
      <c r="J603" s="187"/>
      <c r="K603" s="588"/>
      <c r="L603" s="941"/>
      <c r="BR603" s="1019" t="s">
        <v>444</v>
      </c>
      <c r="BS603" s="1019" t="s">
        <v>444</v>
      </c>
      <c r="BT603" s="1019" t="s">
        <v>565</v>
      </c>
      <c r="BU603" s="1019" t="s">
        <v>920</v>
      </c>
    </row>
    <row r="604" spans="2:73" ht="12" x14ac:dyDescent="0.4">
      <c r="C604" s="939" t="s">
        <v>463</v>
      </c>
      <c r="D604" s="609"/>
      <c r="E604" s="610"/>
      <c r="F604" s="610"/>
      <c r="G604" s="1052" t="str">
        <f t="shared" si="33"/>
        <v>↑</v>
      </c>
      <c r="H604" s="610"/>
      <c r="I604" s="607"/>
      <c r="J604" s="607"/>
      <c r="K604" s="608"/>
      <c r="L604" s="777"/>
      <c r="BR604" s="1019" t="s">
        <v>469</v>
      </c>
      <c r="BS604" s="1019" t="s">
        <v>469</v>
      </c>
      <c r="BT604" s="1019" t="s">
        <v>1024</v>
      </c>
      <c r="BU604" s="1019" t="s">
        <v>1025</v>
      </c>
    </row>
    <row r="605" spans="2:73" ht="12" x14ac:dyDescent="0.4">
      <c r="C605" s="938"/>
      <c r="D605" s="609"/>
      <c r="E605" s="610"/>
      <c r="F605" s="610"/>
      <c r="G605" s="1052" t="str">
        <f t="shared" si="33"/>
        <v>↑</v>
      </c>
      <c r="H605" s="610"/>
      <c r="I605" s="610"/>
      <c r="J605" s="610"/>
      <c r="K605" s="611"/>
      <c r="L605" s="777"/>
      <c r="BR605" s="1019" t="s">
        <v>508</v>
      </c>
      <c r="BS605" s="1019" t="s">
        <v>486</v>
      </c>
      <c r="BT605" s="1019" t="s">
        <v>539</v>
      </c>
      <c r="BU605" s="1019" t="s">
        <v>1026</v>
      </c>
    </row>
    <row r="606" spans="2:73" ht="12" x14ac:dyDescent="0.4">
      <c r="C606" s="937"/>
      <c r="D606" s="610"/>
      <c r="E606" s="610"/>
      <c r="F606" s="610"/>
      <c r="G606" s="1052" t="str">
        <f t="shared" si="33"/>
        <v>↑</v>
      </c>
      <c r="H606" s="610"/>
      <c r="I606" s="610"/>
      <c r="J606" s="610"/>
      <c r="K606" s="611"/>
      <c r="L606" s="777"/>
    </row>
    <row r="607" spans="2:73" ht="12" x14ac:dyDescent="0.4">
      <c r="C607" s="939" t="s">
        <v>463</v>
      </c>
      <c r="D607" s="609"/>
      <c r="E607" s="610"/>
      <c r="F607" s="610"/>
      <c r="G607" s="1052" t="str">
        <f t="shared" si="33"/>
        <v>↑</v>
      </c>
      <c r="H607" s="610"/>
      <c r="I607" s="610"/>
      <c r="J607" s="610"/>
      <c r="K607" s="611"/>
      <c r="L607" s="777"/>
    </row>
    <row r="608" spans="2:73" ht="12" x14ac:dyDescent="0.4">
      <c r="B608" s="125">
        <v>10</v>
      </c>
      <c r="C608" s="938"/>
      <c r="D608" s="609"/>
      <c r="E608" s="610"/>
      <c r="F608" s="610"/>
      <c r="G608" s="1052" t="str">
        <f t="shared" si="33"/>
        <v>↑</v>
      </c>
      <c r="H608" s="610"/>
      <c r="I608" s="610"/>
      <c r="J608" s="610"/>
      <c r="K608" s="611"/>
      <c r="L608" s="777"/>
    </row>
    <row r="609" spans="2:73" ht="12" x14ac:dyDescent="0.4">
      <c r="C609" s="615"/>
      <c r="D609" s="610"/>
      <c r="E609" s="610"/>
      <c r="F609" s="610"/>
      <c r="G609" s="1052" t="str">
        <f t="shared" si="33"/>
        <v>↑</v>
      </c>
      <c r="H609" s="610"/>
      <c r="I609" s="610"/>
      <c r="J609" s="610"/>
      <c r="K609" s="611"/>
      <c r="L609" s="777"/>
    </row>
    <row r="610" spans="2:73" ht="12" x14ac:dyDescent="0.4">
      <c r="C610" s="616"/>
      <c r="D610" s="610"/>
      <c r="E610" s="610"/>
      <c r="F610" s="610"/>
      <c r="G610" s="1052" t="str">
        <f t="shared" si="33"/>
        <v>↑</v>
      </c>
      <c r="H610" s="610"/>
      <c r="I610" s="610"/>
      <c r="J610" s="610"/>
      <c r="K610" s="611"/>
      <c r="L610" s="777"/>
    </row>
    <row r="611" spans="2:73" ht="12" x14ac:dyDescent="0.4">
      <c r="C611" s="616"/>
      <c r="D611" s="610"/>
      <c r="E611" s="610"/>
      <c r="F611" s="610"/>
      <c r="G611" s="1052" t="str">
        <f t="shared" si="33"/>
        <v>↑</v>
      </c>
      <c r="H611" s="610"/>
      <c r="I611" s="610"/>
      <c r="J611" s="610"/>
      <c r="K611" s="611"/>
      <c r="L611" s="777"/>
    </row>
    <row r="612" spans="2:73" ht="12" x14ac:dyDescent="0.4">
      <c r="C612" s="616"/>
      <c r="D612" s="610"/>
      <c r="E612" s="610"/>
      <c r="F612" s="610"/>
      <c r="G612" s="1052" t="str">
        <f t="shared" si="33"/>
        <v>↑</v>
      </c>
      <c r="H612" s="610"/>
      <c r="I612" s="610"/>
      <c r="J612" s="610"/>
      <c r="K612" s="611"/>
      <c r="L612" s="777"/>
    </row>
    <row r="613" spans="2:73" ht="12" x14ac:dyDescent="0.4">
      <c r="B613" s="125">
        <v>15</v>
      </c>
      <c r="C613" s="616"/>
      <c r="D613" s="610"/>
      <c r="E613" s="610"/>
      <c r="F613" s="610"/>
      <c r="G613" s="1052" t="str">
        <f t="shared" si="33"/>
        <v>↑</v>
      </c>
      <c r="H613" s="610"/>
      <c r="I613" s="610"/>
      <c r="J613" s="610"/>
      <c r="K613" s="611"/>
      <c r="L613" s="778"/>
    </row>
    <row r="614" spans="2:73" ht="12" x14ac:dyDescent="0.4">
      <c r="C614" s="616"/>
      <c r="D614" s="610"/>
      <c r="E614" s="610"/>
      <c r="F614" s="610"/>
      <c r="G614" s="1052" t="str">
        <f t="shared" si="33"/>
        <v>↑</v>
      </c>
      <c r="H614" s="610"/>
      <c r="I614" s="610"/>
      <c r="J614" s="610"/>
      <c r="K614" s="610"/>
      <c r="L614" s="626"/>
    </row>
    <row r="615" spans="2:73" ht="12" x14ac:dyDescent="0.4">
      <c r="C615" s="616"/>
      <c r="D615" s="610"/>
      <c r="E615" s="613"/>
      <c r="F615" s="613"/>
      <c r="G615" s="1053" t="str">
        <f t="shared" si="33"/>
        <v>↑</v>
      </c>
      <c r="H615" s="613"/>
      <c r="I615" s="613"/>
      <c r="J615" s="613"/>
      <c r="K615" s="610"/>
      <c r="L615" s="624"/>
    </row>
    <row r="616" spans="2:73" x14ac:dyDescent="0.4">
      <c r="C616" s="616"/>
      <c r="D616" s="611"/>
      <c r="E616" s="850" t="s">
        <v>469</v>
      </c>
      <c r="F616" s="845"/>
      <c r="G616" s="845"/>
      <c r="H616" s="845"/>
      <c r="I616" s="845"/>
      <c r="J616" s="848"/>
      <c r="K616" s="609"/>
      <c r="L616" s="624"/>
    </row>
    <row r="617" spans="2:73" ht="12" x14ac:dyDescent="0.4">
      <c r="C617" s="616"/>
      <c r="D617" s="611"/>
      <c r="E617" s="846"/>
      <c r="F617" s="847"/>
      <c r="G617" s="1083" t="str">
        <f>IF($AB$3="ON","↑","")</f>
        <v>↑</v>
      </c>
      <c r="H617" s="847"/>
      <c r="I617" s="847"/>
      <c r="J617" s="849"/>
      <c r="K617" s="609"/>
      <c r="L617" s="624"/>
    </row>
    <row r="618" spans="2:73" ht="12" x14ac:dyDescent="0.4">
      <c r="B618" s="125">
        <v>20</v>
      </c>
      <c r="C618" s="616"/>
      <c r="D618" s="610"/>
      <c r="E618" s="607"/>
      <c r="F618" s="607"/>
      <c r="G618" s="1055" t="str">
        <f>IF($AB$3="ON","↑","")</f>
        <v>↑</v>
      </c>
      <c r="H618" s="607"/>
      <c r="I618" s="607"/>
      <c r="J618" s="607"/>
      <c r="K618" s="610"/>
      <c r="L618" s="624"/>
    </row>
    <row r="619" spans="2:73" ht="11.25" thickBot="1" x14ac:dyDescent="0.45">
      <c r="C619" s="620"/>
      <c r="D619" s="621"/>
      <c r="E619" s="621"/>
      <c r="F619" s="621"/>
      <c r="G619" s="643" t="s">
        <v>508</v>
      </c>
      <c r="H619" s="621"/>
      <c r="I619" s="621"/>
      <c r="J619" s="621"/>
      <c r="K619" s="621"/>
      <c r="L619" s="625"/>
    </row>
    <row r="623" spans="2:73" ht="15.75" x14ac:dyDescent="0.4">
      <c r="B623" s="122" t="s">
        <v>1027</v>
      </c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3" t="s">
        <v>1028</v>
      </c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</row>
    <row r="625" spans="2:73" ht="12.75" thickBot="1" x14ac:dyDescent="0.45">
      <c r="C625" s="125">
        <v>0</v>
      </c>
      <c r="H625" s="125">
        <v>5</v>
      </c>
      <c r="M625" s="125">
        <v>10</v>
      </c>
      <c r="R625" s="125">
        <v>15</v>
      </c>
      <c r="W625" s="125">
        <v>20</v>
      </c>
      <c r="BR625" s="272" t="s">
        <v>310</v>
      </c>
      <c r="BS625" s="272" t="s">
        <v>529</v>
      </c>
      <c r="BT625" s="272" t="s">
        <v>530</v>
      </c>
      <c r="BU625" s="272" t="s">
        <v>531</v>
      </c>
    </row>
    <row r="626" spans="2:73" ht="12" x14ac:dyDescent="0.4">
      <c r="B626" s="125">
        <v>0</v>
      </c>
      <c r="C626" s="947" t="s">
        <v>1029</v>
      </c>
      <c r="D626" s="600"/>
      <c r="E626" s="600"/>
      <c r="F626" s="600"/>
      <c r="G626" s="600"/>
      <c r="H626" s="600"/>
      <c r="I626" s="600"/>
      <c r="J626" s="944"/>
      <c r="K626" s="664"/>
      <c r="L626" s="657"/>
      <c r="M626" s="687" t="s">
        <v>1030</v>
      </c>
      <c r="N626" s="627"/>
      <c r="O626" s="627"/>
      <c r="P626" s="627"/>
      <c r="Q626" s="627"/>
      <c r="R626" s="627"/>
      <c r="S626" s="627"/>
      <c r="T626" s="627"/>
      <c r="U626" s="627"/>
      <c r="V626" s="685"/>
      <c r="W626" s="664"/>
      <c r="X626" s="656"/>
      <c r="Y626" s="656"/>
      <c r="Z626" s="660"/>
      <c r="BR626" s="1019" t="s">
        <v>1029</v>
      </c>
      <c r="BS626" s="1019" t="s">
        <v>455</v>
      </c>
      <c r="BT626" s="1019" t="s">
        <v>887</v>
      </c>
      <c r="BU626" s="1019" t="s">
        <v>753</v>
      </c>
    </row>
    <row r="627" spans="2:73" ht="12" x14ac:dyDescent="0.4">
      <c r="C627" s="599"/>
      <c r="D627" s="598"/>
      <c r="E627" s="598"/>
      <c r="F627" s="598"/>
      <c r="G627" s="598"/>
      <c r="H627" s="598"/>
      <c r="I627" s="598"/>
      <c r="J627" s="945"/>
      <c r="K627" s="648"/>
      <c r="L627" s="574"/>
      <c r="M627" s="683"/>
      <c r="N627" s="684"/>
      <c r="O627" s="684"/>
      <c r="P627" s="684"/>
      <c r="Q627" s="684"/>
      <c r="R627" s="684"/>
      <c r="S627" s="684"/>
      <c r="T627" s="684"/>
      <c r="U627" s="684"/>
      <c r="V627" s="686"/>
      <c r="W627" s="648"/>
      <c r="X627" s="565"/>
      <c r="Y627" s="565"/>
      <c r="Z627" s="661"/>
      <c r="BR627" s="1019" t="s">
        <v>1030</v>
      </c>
      <c r="BS627" s="1019" t="s">
        <v>471</v>
      </c>
      <c r="BT627" s="1019" t="s">
        <v>1032</v>
      </c>
      <c r="BU627" s="1019" t="s">
        <v>607</v>
      </c>
    </row>
    <row r="628" spans="2:73" ht="12" x14ac:dyDescent="0.4">
      <c r="C628" s="599"/>
      <c r="D628" s="598"/>
      <c r="E628" s="598"/>
      <c r="F628" s="598"/>
      <c r="G628" s="598"/>
      <c r="H628" s="598"/>
      <c r="I628" s="598"/>
      <c r="J628" s="945"/>
      <c r="K628" s="648"/>
      <c r="L628" s="565"/>
      <c r="M628" s="646"/>
      <c r="N628" s="646"/>
      <c r="O628" s="646"/>
      <c r="P628" s="646"/>
      <c r="Q628" s="646"/>
      <c r="R628" s="646"/>
      <c r="S628" s="646"/>
      <c r="T628" s="646"/>
      <c r="U628" s="646"/>
      <c r="V628" s="646"/>
      <c r="W628" s="565"/>
      <c r="X628" s="565"/>
      <c r="Y628" s="565"/>
      <c r="Z628" s="661"/>
      <c r="BR628" s="1019" t="s">
        <v>469</v>
      </c>
      <c r="BS628" s="1019" t="s">
        <v>469</v>
      </c>
      <c r="BT628" s="1019" t="s">
        <v>1033</v>
      </c>
      <c r="BU628" s="1019" t="s">
        <v>587</v>
      </c>
    </row>
    <row r="629" spans="2:73" ht="12" x14ac:dyDescent="0.4">
      <c r="C629" s="599"/>
      <c r="D629" s="598"/>
      <c r="E629" s="598"/>
      <c r="F629" s="598"/>
      <c r="G629" s="598"/>
      <c r="H629" s="598"/>
      <c r="I629" s="598"/>
      <c r="J629" s="945"/>
      <c r="K629" s="648"/>
      <c r="L629" s="565"/>
      <c r="M629" s="565"/>
      <c r="N629" s="565"/>
      <c r="O629" s="565"/>
      <c r="P629" s="565"/>
      <c r="Q629" s="875" t="s">
        <v>1031</v>
      </c>
      <c r="R629" s="565"/>
      <c r="S629" s="565"/>
      <c r="T629" s="565"/>
      <c r="U629" s="565"/>
      <c r="V629" s="565"/>
      <c r="W629" s="565"/>
      <c r="X629" s="565"/>
      <c r="Y629" s="565"/>
      <c r="Z629" s="661"/>
      <c r="BR629" s="1019" t="s">
        <v>433</v>
      </c>
      <c r="BS629" s="1019" t="s">
        <v>433</v>
      </c>
      <c r="BT629" s="1019" t="s">
        <v>1034</v>
      </c>
      <c r="BU629" s="1019" t="s">
        <v>658</v>
      </c>
    </row>
    <row r="630" spans="2:73" ht="12" x14ac:dyDescent="0.4">
      <c r="C630" s="599"/>
      <c r="D630" s="598"/>
      <c r="E630" s="598"/>
      <c r="F630" s="598"/>
      <c r="G630" s="598"/>
      <c r="H630" s="598"/>
      <c r="I630" s="598"/>
      <c r="J630" s="945"/>
      <c r="K630" s="648"/>
      <c r="L630" s="565"/>
      <c r="M630" s="565"/>
      <c r="N630" s="565"/>
      <c r="O630" s="565"/>
      <c r="P630" s="565"/>
      <c r="Q630" s="1058" t="str">
        <f>IF($AB$3="ON","↑","")</f>
        <v>↑</v>
      </c>
      <c r="R630" s="565"/>
      <c r="S630" s="565"/>
      <c r="T630" s="565"/>
      <c r="U630" s="565"/>
      <c r="V630" s="565"/>
      <c r="W630" s="565"/>
      <c r="X630" s="565"/>
      <c r="Y630" s="565"/>
      <c r="Z630" s="661"/>
      <c r="BR630" s="1019" t="s">
        <v>1031</v>
      </c>
      <c r="BS630" s="1019" t="s">
        <v>485</v>
      </c>
      <c r="BT630" s="1019" t="s">
        <v>539</v>
      </c>
      <c r="BU630" s="1019" t="s">
        <v>1035</v>
      </c>
    </row>
    <row r="631" spans="2:73" ht="12" x14ac:dyDescent="0.4">
      <c r="B631" s="125">
        <v>5</v>
      </c>
      <c r="C631" s="942"/>
      <c r="D631" s="943"/>
      <c r="E631" s="943"/>
      <c r="F631" s="943"/>
      <c r="G631" s="943"/>
      <c r="H631" s="943"/>
      <c r="I631" s="943"/>
      <c r="J631" s="946"/>
      <c r="K631" s="648"/>
      <c r="L631" s="565"/>
      <c r="M631" s="565"/>
      <c r="N631" s="565"/>
      <c r="O631" s="565"/>
      <c r="P631" s="565"/>
      <c r="Q631" s="1058" t="str">
        <f>IF($AB$3="ON","↑","")</f>
        <v>↑</v>
      </c>
      <c r="R631" s="565"/>
      <c r="S631" s="565"/>
      <c r="T631" s="565"/>
      <c r="U631" s="565"/>
      <c r="V631" s="565"/>
      <c r="W631" s="650"/>
      <c r="X631" s="650"/>
      <c r="Y631" s="650"/>
      <c r="Z631" s="698"/>
      <c r="BR631" s="1019" t="s">
        <v>96</v>
      </c>
      <c r="BS631" s="1019" t="s">
        <v>96</v>
      </c>
      <c r="BT631" s="1019" t="s">
        <v>539</v>
      </c>
      <c r="BU631" s="1019" t="s">
        <v>1036</v>
      </c>
    </row>
    <row r="632" spans="2:73" ht="12" x14ac:dyDescent="0.4">
      <c r="C632" s="652"/>
      <c r="D632" s="646"/>
      <c r="E632" s="646"/>
      <c r="F632" s="646"/>
      <c r="G632" s="646"/>
      <c r="H632" s="646"/>
      <c r="I632" s="646"/>
      <c r="J632" s="646"/>
      <c r="K632" s="565"/>
      <c r="L632" s="565"/>
      <c r="M632" s="565"/>
      <c r="N632" s="565"/>
      <c r="O632" s="565"/>
      <c r="P632" s="565"/>
      <c r="Q632" s="1058" t="str">
        <f>IF($AB$3="ON","↑","")</f>
        <v>↑</v>
      </c>
      <c r="R632" s="565"/>
      <c r="S632" s="565"/>
      <c r="T632" s="565"/>
      <c r="U632" s="565"/>
      <c r="V632" s="574"/>
      <c r="W632" s="404" t="s">
        <v>433</v>
      </c>
      <c r="X632" s="396"/>
      <c r="Y632" s="396"/>
      <c r="Z632" s="401"/>
      <c r="BR632" s="1019" t="s">
        <v>96</v>
      </c>
      <c r="BS632" s="1019" t="s">
        <v>96</v>
      </c>
      <c r="BT632" s="1019" t="s">
        <v>539</v>
      </c>
      <c r="BU632" s="1019" t="s">
        <v>1037</v>
      </c>
    </row>
    <row r="633" spans="2:73" ht="12" x14ac:dyDescent="0.4">
      <c r="C633" s="653"/>
      <c r="D633" s="565"/>
      <c r="E633" s="565"/>
      <c r="F633" s="565"/>
      <c r="G633" s="565"/>
      <c r="H633" s="565"/>
      <c r="I633" s="565"/>
      <c r="J633" s="565"/>
      <c r="K633" s="565"/>
      <c r="L633" s="565"/>
      <c r="M633" s="650"/>
      <c r="N633" s="650"/>
      <c r="O633" s="650"/>
      <c r="P633" s="650"/>
      <c r="Q633" s="1086" t="str">
        <f>IF($AB$3="ON","↑","")</f>
        <v>↑</v>
      </c>
      <c r="R633" s="650"/>
      <c r="S633" s="650"/>
      <c r="T633" s="650"/>
      <c r="U633" s="565"/>
      <c r="V633" s="574"/>
      <c r="W633" s="398"/>
      <c r="X633" s="395"/>
      <c r="Y633" s="395"/>
      <c r="Z633" s="402"/>
      <c r="BR633" s="1019" t="s">
        <v>508</v>
      </c>
      <c r="BS633" s="1019" t="s">
        <v>486</v>
      </c>
      <c r="BT633" s="1019" t="s">
        <v>539</v>
      </c>
      <c r="BU633" s="1019" t="s">
        <v>1038</v>
      </c>
    </row>
    <row r="634" spans="2:73" x14ac:dyDescent="0.4">
      <c r="C634" s="653"/>
      <c r="D634" s="565"/>
      <c r="E634" s="565"/>
      <c r="F634" s="565"/>
      <c r="G634" s="565"/>
      <c r="H634" s="565"/>
      <c r="I634" s="565"/>
      <c r="J634" s="565"/>
      <c r="K634" s="565"/>
      <c r="L634" s="574"/>
      <c r="M634" s="850" t="s">
        <v>469</v>
      </c>
      <c r="N634" s="845"/>
      <c r="O634" s="845"/>
      <c r="P634" s="845"/>
      <c r="Q634" s="845"/>
      <c r="R634" s="845"/>
      <c r="S634" s="845"/>
      <c r="T634" s="848"/>
      <c r="U634" s="648"/>
      <c r="V634" s="574"/>
      <c r="W634" s="398"/>
      <c r="X634" s="395"/>
      <c r="Y634" s="395"/>
      <c r="Z634" s="402"/>
    </row>
    <row r="635" spans="2:73" ht="12" x14ac:dyDescent="0.4">
      <c r="C635" s="653"/>
      <c r="D635" s="565"/>
      <c r="E635" s="565"/>
      <c r="F635" s="565"/>
      <c r="G635" s="565"/>
      <c r="H635" s="565"/>
      <c r="I635" s="565"/>
      <c r="J635" s="565"/>
      <c r="K635" s="565"/>
      <c r="L635" s="574"/>
      <c r="M635" s="846"/>
      <c r="N635" s="847"/>
      <c r="O635" s="847"/>
      <c r="P635" s="847"/>
      <c r="Q635" s="1083" t="str">
        <f t="shared" ref="Q635:Q642" si="34">IF($AB$3="ON","↑","")</f>
        <v>↑</v>
      </c>
      <c r="R635" s="847"/>
      <c r="S635" s="847"/>
      <c r="T635" s="849"/>
      <c r="U635" s="648"/>
      <c r="V635" s="574"/>
      <c r="W635" s="398"/>
      <c r="X635" s="395"/>
      <c r="Y635" s="395"/>
      <c r="Z635" s="402"/>
    </row>
    <row r="636" spans="2:73" ht="12" x14ac:dyDescent="0.4">
      <c r="B636" s="125">
        <v>10</v>
      </c>
      <c r="C636" s="653"/>
      <c r="D636" s="565"/>
      <c r="E636" s="565"/>
      <c r="F636" s="565"/>
      <c r="G636" s="565"/>
      <c r="H636" s="565"/>
      <c r="I636" s="565"/>
      <c r="J636" s="565"/>
      <c r="K636" s="565"/>
      <c r="L636" s="565"/>
      <c r="M636" s="646"/>
      <c r="N636" s="646"/>
      <c r="O636" s="646"/>
      <c r="P636" s="646"/>
      <c r="Q636" s="1062" t="str">
        <f t="shared" si="34"/>
        <v>↑</v>
      </c>
      <c r="R636" s="646"/>
      <c r="S636" s="646"/>
      <c r="T636" s="646"/>
      <c r="U636" s="565"/>
      <c r="V636" s="574"/>
      <c r="W636" s="398"/>
      <c r="X636" s="395"/>
      <c r="Y636" s="395"/>
      <c r="Z636" s="402"/>
    </row>
    <row r="637" spans="2:73" ht="12" x14ac:dyDescent="0.4">
      <c r="C637" s="653"/>
      <c r="D637" s="565"/>
      <c r="E637" s="565"/>
      <c r="F637" s="565"/>
      <c r="G637" s="565"/>
      <c r="H637" s="565"/>
      <c r="I637" s="565"/>
      <c r="J637" s="565"/>
      <c r="K637" s="565"/>
      <c r="L637" s="565"/>
      <c r="M637" s="565"/>
      <c r="N637" s="565"/>
      <c r="O637" s="565"/>
      <c r="P637" s="565"/>
      <c r="Q637" s="1058" t="str">
        <f t="shared" si="34"/>
        <v>↑</v>
      </c>
      <c r="R637" s="565"/>
      <c r="S637" s="565"/>
      <c r="T637" s="565"/>
      <c r="U637" s="565"/>
      <c r="V637" s="574"/>
      <c r="W637" s="398"/>
      <c r="X637" s="395"/>
      <c r="Y637" s="395"/>
      <c r="Z637" s="402"/>
    </row>
    <row r="638" spans="2:73" ht="12" x14ac:dyDescent="0.4">
      <c r="C638" s="653"/>
      <c r="D638" s="565"/>
      <c r="E638" s="565"/>
      <c r="F638" s="565"/>
      <c r="G638" s="565"/>
      <c r="H638" s="565"/>
      <c r="I638" s="565"/>
      <c r="J638" s="565"/>
      <c r="K638" s="195" t="s">
        <v>96</v>
      </c>
      <c r="L638" s="565"/>
      <c r="M638" s="565"/>
      <c r="N638" s="565"/>
      <c r="O638" s="565"/>
      <c r="P638" s="565"/>
      <c r="Q638" s="1058" t="str">
        <f t="shared" si="34"/>
        <v>↑</v>
      </c>
      <c r="R638" s="565"/>
      <c r="S638" s="565"/>
      <c r="T638" s="565"/>
      <c r="U638" s="565"/>
      <c r="V638" s="574"/>
      <c r="W638" s="398"/>
      <c r="X638" s="395"/>
      <c r="Y638" s="395"/>
      <c r="Z638" s="402"/>
    </row>
    <row r="639" spans="2:73" ht="12" x14ac:dyDescent="0.4">
      <c r="C639" s="653"/>
      <c r="D639" s="565"/>
      <c r="E639" s="565"/>
      <c r="F639" s="565"/>
      <c r="G639" s="565"/>
      <c r="H639" s="565"/>
      <c r="I639" s="565"/>
      <c r="J639" s="565"/>
      <c r="K639" s="565"/>
      <c r="L639" s="565"/>
      <c r="M639" s="565"/>
      <c r="N639" s="565"/>
      <c r="O639" s="565"/>
      <c r="P639" s="565"/>
      <c r="Q639" s="1058" t="str">
        <f t="shared" si="34"/>
        <v>↑</v>
      </c>
      <c r="R639" s="565"/>
      <c r="S639" s="565"/>
      <c r="T639" s="565"/>
      <c r="U639" s="565"/>
      <c r="V639" s="574"/>
      <c r="W639" s="398"/>
      <c r="X639" s="395"/>
      <c r="Y639" s="395"/>
      <c r="Z639" s="402"/>
    </row>
    <row r="640" spans="2:73" ht="12" x14ac:dyDescent="0.4">
      <c r="C640" s="653"/>
      <c r="D640" s="565"/>
      <c r="E640" s="565"/>
      <c r="F640" s="565"/>
      <c r="G640" s="565"/>
      <c r="H640" s="565"/>
      <c r="I640" s="565"/>
      <c r="J640" s="565"/>
      <c r="K640" s="565"/>
      <c r="L640" s="565"/>
      <c r="M640" s="565"/>
      <c r="N640" s="565"/>
      <c r="O640" s="195" t="s">
        <v>96</v>
      </c>
      <c r="P640" s="565"/>
      <c r="Q640" s="1058" t="str">
        <f t="shared" si="34"/>
        <v>↑</v>
      </c>
      <c r="R640" s="565"/>
      <c r="S640" s="565"/>
      <c r="T640" s="565"/>
      <c r="U640" s="565"/>
      <c r="V640" s="574"/>
      <c r="W640" s="398"/>
      <c r="X640" s="395"/>
      <c r="Y640" s="395"/>
      <c r="Z640" s="402"/>
    </row>
    <row r="641" spans="2:73" ht="12" x14ac:dyDescent="0.4">
      <c r="B641" s="125">
        <v>15</v>
      </c>
      <c r="C641" s="653"/>
      <c r="D641" s="565"/>
      <c r="E641" s="565"/>
      <c r="F641" s="565"/>
      <c r="G641" s="565"/>
      <c r="H641" s="565"/>
      <c r="I641" s="565"/>
      <c r="J641" s="565"/>
      <c r="K641" s="565"/>
      <c r="L641" s="565"/>
      <c r="M641" s="565"/>
      <c r="N641" s="565"/>
      <c r="O641" s="565"/>
      <c r="P641" s="565"/>
      <c r="Q641" s="1058" t="str">
        <f t="shared" si="34"/>
        <v>↑</v>
      </c>
      <c r="R641" s="565"/>
      <c r="S641" s="565"/>
      <c r="T641" s="565"/>
      <c r="U641" s="565"/>
      <c r="V641" s="574"/>
      <c r="W641" s="399"/>
      <c r="X641" s="400"/>
      <c r="Y641" s="400"/>
      <c r="Z641" s="403"/>
    </row>
    <row r="642" spans="2:73" ht="12" x14ac:dyDescent="0.4">
      <c r="C642" s="653"/>
      <c r="D642" s="193" t="s">
        <v>508</v>
      </c>
      <c r="E642" s="1058" t="str">
        <f t="shared" ref="E642:P642" si="35">IF($AB$3="ON","→","")</f>
        <v>→</v>
      </c>
      <c r="F642" s="1058" t="str">
        <f t="shared" si="35"/>
        <v>→</v>
      </c>
      <c r="G642" s="1058" t="str">
        <f t="shared" si="35"/>
        <v>→</v>
      </c>
      <c r="H642" s="1058" t="str">
        <f t="shared" si="35"/>
        <v>→</v>
      </c>
      <c r="I642" s="1058" t="str">
        <f t="shared" si="35"/>
        <v>→</v>
      </c>
      <c r="J642" s="1058" t="str">
        <f t="shared" si="35"/>
        <v>→</v>
      </c>
      <c r="K642" s="1058" t="str">
        <f t="shared" si="35"/>
        <v>→</v>
      </c>
      <c r="L642" s="1058" t="str">
        <f t="shared" si="35"/>
        <v>→</v>
      </c>
      <c r="M642" s="1058" t="str">
        <f t="shared" si="35"/>
        <v>→</v>
      </c>
      <c r="N642" s="1058" t="str">
        <f t="shared" si="35"/>
        <v>→</v>
      </c>
      <c r="O642" s="1058" t="str">
        <f t="shared" si="35"/>
        <v>→</v>
      </c>
      <c r="P642" s="1058" t="str">
        <f t="shared" si="35"/>
        <v>→</v>
      </c>
      <c r="Q642" s="1058" t="str">
        <f t="shared" si="34"/>
        <v>↑</v>
      </c>
      <c r="R642" s="565"/>
      <c r="S642" s="565"/>
      <c r="T642" s="565"/>
      <c r="U642" s="565"/>
      <c r="V642" s="565"/>
      <c r="W642" s="646"/>
      <c r="X642" s="646"/>
      <c r="Y642" s="646"/>
      <c r="Z642" s="699"/>
    </row>
    <row r="643" spans="2:73" ht="11.25" thickBot="1" x14ac:dyDescent="0.45">
      <c r="C643" s="658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  <c r="O643" s="659"/>
      <c r="P643" s="659"/>
      <c r="Q643" s="659"/>
      <c r="R643" s="659"/>
      <c r="S643" s="659"/>
      <c r="T643" s="659"/>
      <c r="U643" s="659"/>
      <c r="V643" s="659"/>
      <c r="W643" s="659"/>
      <c r="X643" s="659"/>
      <c r="Y643" s="659"/>
      <c r="Z643" s="662"/>
    </row>
    <row r="647" spans="2:73" ht="15.75" x14ac:dyDescent="0.4">
      <c r="B647" s="122" t="s">
        <v>1039</v>
      </c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  <c r="AP647" s="121"/>
      <c r="AQ647" s="121"/>
      <c r="AR647" s="121"/>
      <c r="AS647" s="121"/>
      <c r="AT647" s="121"/>
      <c r="AU647" s="121"/>
      <c r="AV647" s="121"/>
      <c r="AW647" s="121"/>
      <c r="AX647" s="121"/>
      <c r="AY647" s="121"/>
      <c r="AZ647" s="121"/>
      <c r="BA647" s="121"/>
      <c r="BB647" s="121"/>
      <c r="BC647" s="121"/>
      <c r="BD647" s="121"/>
      <c r="BE647" s="121"/>
      <c r="BF647" s="121"/>
      <c r="BG647" s="121"/>
      <c r="BH647" s="121"/>
      <c r="BI647" s="121"/>
      <c r="BJ647" s="123" t="s">
        <v>1040</v>
      </c>
      <c r="BK647" s="121"/>
      <c r="BL647" s="121"/>
      <c r="BM647" s="121"/>
      <c r="BN647" s="121"/>
      <c r="BO647" s="121"/>
      <c r="BP647" s="121"/>
      <c r="BQ647" s="121"/>
      <c r="BR647" s="121"/>
      <c r="BS647" s="121"/>
      <c r="BT647" s="121"/>
      <c r="BU647" s="121"/>
    </row>
    <row r="648" spans="2:73" ht="12" x14ac:dyDescent="0.4">
      <c r="B648" s="124" t="s">
        <v>1041</v>
      </c>
    </row>
    <row r="649" spans="2:73" ht="12" x14ac:dyDescent="0.4">
      <c r="C649" s="125">
        <v>0</v>
      </c>
      <c r="H649" s="125">
        <v>5</v>
      </c>
      <c r="M649" s="125">
        <v>10</v>
      </c>
      <c r="R649" s="125">
        <v>15</v>
      </c>
      <c r="W649" s="125">
        <v>20</v>
      </c>
      <c r="BR649" s="272" t="s">
        <v>310</v>
      </c>
      <c r="BS649" s="272" t="s">
        <v>529</v>
      </c>
      <c r="BT649" s="272" t="s">
        <v>530</v>
      </c>
      <c r="BU649" s="272" t="s">
        <v>531</v>
      </c>
    </row>
    <row r="650" spans="2:73" ht="12" x14ac:dyDescent="0.4">
      <c r="B650" s="125">
        <v>0</v>
      </c>
      <c r="C650" s="773" t="s">
        <v>1042</v>
      </c>
      <c r="D650" s="771"/>
      <c r="E650" s="771"/>
      <c r="F650" s="771"/>
      <c r="G650" s="771"/>
      <c r="H650" s="771"/>
      <c r="I650" s="771"/>
      <c r="J650" s="771"/>
      <c r="K650" s="771"/>
      <c r="L650" s="771"/>
      <c r="M650" s="771"/>
      <c r="N650" s="771"/>
      <c r="O650" s="771"/>
      <c r="P650" s="771"/>
      <c r="Q650" s="771"/>
      <c r="R650" s="771"/>
      <c r="S650" s="771"/>
      <c r="T650" s="771"/>
      <c r="U650" s="771"/>
      <c r="V650" s="771"/>
      <c r="W650" s="771"/>
      <c r="X650" s="771"/>
      <c r="Y650" s="771"/>
      <c r="Z650" s="772"/>
      <c r="BR650" s="1019" t="s">
        <v>1042</v>
      </c>
      <c r="BS650" s="1019" t="s">
        <v>456</v>
      </c>
      <c r="BT650" s="1019" t="s">
        <v>875</v>
      </c>
      <c r="BU650" s="1019" t="s">
        <v>753</v>
      </c>
    </row>
    <row r="651" spans="2:73" ht="12" x14ac:dyDescent="0.4">
      <c r="C651" s="615"/>
      <c r="D651" s="607"/>
      <c r="E651" s="607"/>
      <c r="F651" s="607"/>
      <c r="G651" s="607"/>
      <c r="H651" s="607"/>
      <c r="I651" s="948" t="s">
        <v>666</v>
      </c>
      <c r="J651" s="607"/>
      <c r="K651" s="607"/>
      <c r="L651" s="607"/>
      <c r="M651" s="948" t="s">
        <v>666</v>
      </c>
      <c r="N651" s="607"/>
      <c r="O651" s="607"/>
      <c r="P651" s="607"/>
      <c r="Q651" s="948" t="s">
        <v>666</v>
      </c>
      <c r="R651" s="607"/>
      <c r="S651" s="607"/>
      <c r="T651" s="607"/>
      <c r="U651" s="607"/>
      <c r="V651" s="607"/>
      <c r="W651" s="607"/>
      <c r="X651" s="607"/>
      <c r="Y651" s="607"/>
      <c r="Z651" s="626"/>
      <c r="BR651" s="1019" t="s">
        <v>666</v>
      </c>
      <c r="BS651" s="1019" t="s">
        <v>482</v>
      </c>
      <c r="BT651" s="1019" t="s">
        <v>539</v>
      </c>
      <c r="BU651" s="1019" t="s">
        <v>754</v>
      </c>
    </row>
    <row r="652" spans="2:73" ht="12" x14ac:dyDescent="0.4">
      <c r="C652" s="616"/>
      <c r="D652" s="610"/>
      <c r="E652" s="610"/>
      <c r="F652" s="610"/>
      <c r="G652" s="610"/>
      <c r="H652" s="610"/>
      <c r="I652" s="610"/>
      <c r="J652" s="610"/>
      <c r="K652" s="610"/>
      <c r="L652" s="610"/>
      <c r="M652" s="610"/>
      <c r="N652" s="610"/>
      <c r="O652" s="610"/>
      <c r="P652" s="610"/>
      <c r="Q652" s="610"/>
      <c r="R652" s="610"/>
      <c r="S652" s="610"/>
      <c r="T652" s="610"/>
      <c r="U652" s="610"/>
      <c r="V652" s="610"/>
      <c r="W652" s="610"/>
      <c r="X652" s="610"/>
      <c r="Y652" s="610"/>
      <c r="Z652" s="624"/>
      <c r="BR652" s="1019" t="s">
        <v>666</v>
      </c>
      <c r="BS652" s="1019" t="s">
        <v>482</v>
      </c>
      <c r="BT652" s="1019" t="s">
        <v>539</v>
      </c>
      <c r="BU652" s="1019" t="s">
        <v>609</v>
      </c>
    </row>
    <row r="653" spans="2:73" ht="12" x14ac:dyDescent="0.4">
      <c r="C653" s="616"/>
      <c r="D653" s="610"/>
      <c r="E653" s="610"/>
      <c r="F653" s="610"/>
      <c r="G653" s="610"/>
      <c r="H653" s="610"/>
      <c r="I653" s="610"/>
      <c r="J653" s="610"/>
      <c r="K653" s="610"/>
      <c r="L653" s="610"/>
      <c r="M653" s="610"/>
      <c r="N653" s="610"/>
      <c r="O653" s="610"/>
      <c r="P653" s="610"/>
      <c r="Q653" s="610"/>
      <c r="R653" s="610"/>
      <c r="S653" s="610"/>
      <c r="T653" s="610"/>
      <c r="U653" s="610"/>
      <c r="V653" s="610"/>
      <c r="W653" s="610"/>
      <c r="X653" s="610"/>
      <c r="Y653" s="610"/>
      <c r="Z653" s="624"/>
      <c r="BR653" s="1019" t="s">
        <v>666</v>
      </c>
      <c r="BS653" s="1019" t="s">
        <v>482</v>
      </c>
      <c r="BT653" s="1019" t="s">
        <v>539</v>
      </c>
      <c r="BU653" s="1019" t="s">
        <v>535</v>
      </c>
    </row>
    <row r="654" spans="2:73" ht="12" x14ac:dyDescent="0.4">
      <c r="C654" s="616"/>
      <c r="D654" s="610"/>
      <c r="E654" s="610"/>
      <c r="F654" s="610"/>
      <c r="G654" s="610"/>
      <c r="H654" s="610"/>
      <c r="I654" s="610"/>
      <c r="J654" s="610"/>
      <c r="K654" s="610"/>
      <c r="L654" s="610"/>
      <c r="M654" s="610"/>
      <c r="N654" s="610"/>
      <c r="O654" s="610"/>
      <c r="P654" s="610"/>
      <c r="Q654" s="610"/>
      <c r="R654" s="610"/>
      <c r="S654" s="610"/>
      <c r="T654" s="610"/>
      <c r="U654" s="610"/>
      <c r="V654" s="610"/>
      <c r="W654" s="610"/>
      <c r="X654" s="610"/>
      <c r="Y654" s="610"/>
      <c r="Z654" s="624"/>
      <c r="BR654" s="1019" t="s">
        <v>1043</v>
      </c>
      <c r="BS654" s="1019" t="s">
        <v>476</v>
      </c>
      <c r="BT654" s="1019" t="s">
        <v>539</v>
      </c>
      <c r="BU654" s="1019" t="s">
        <v>830</v>
      </c>
    </row>
    <row r="655" spans="2:73" ht="12" x14ac:dyDescent="0.4">
      <c r="B655" s="125">
        <v>5</v>
      </c>
      <c r="C655" s="616"/>
      <c r="D655" s="610"/>
      <c r="E655" s="610"/>
      <c r="F655" s="610"/>
      <c r="G655" s="610"/>
      <c r="H655" s="610"/>
      <c r="I655" s="610"/>
      <c r="J655" s="610"/>
      <c r="K655" s="610"/>
      <c r="L655" s="610"/>
      <c r="M655" s="610"/>
      <c r="N655" s="610"/>
      <c r="O655" s="195" t="s">
        <v>96</v>
      </c>
      <c r="P655" s="610"/>
      <c r="Q655" s="610"/>
      <c r="R655" s="610"/>
      <c r="S655" s="610"/>
      <c r="T655" s="610"/>
      <c r="U655" s="610"/>
      <c r="V655" s="610"/>
      <c r="W655" s="610"/>
      <c r="X655" s="610"/>
      <c r="Y655" s="610"/>
      <c r="Z655" s="624"/>
      <c r="BR655" s="1019" t="s">
        <v>1000</v>
      </c>
      <c r="BS655" s="1019" t="s">
        <v>406</v>
      </c>
      <c r="BT655" s="1019" t="s">
        <v>945</v>
      </c>
      <c r="BU655" s="1019" t="s">
        <v>715</v>
      </c>
    </row>
    <row r="656" spans="2:73" ht="12" x14ac:dyDescent="0.4">
      <c r="C656" s="617"/>
      <c r="D656" s="610"/>
      <c r="E656" s="610"/>
      <c r="F656" s="610"/>
      <c r="G656" s="610"/>
      <c r="H656" s="610"/>
      <c r="I656" s="610"/>
      <c r="J656" s="610"/>
      <c r="K656" s="610"/>
      <c r="L656" s="610"/>
      <c r="M656" s="195" t="s">
        <v>96</v>
      </c>
      <c r="N656" s="610"/>
      <c r="O656" s="610"/>
      <c r="P656" s="610"/>
      <c r="Q656" s="610"/>
      <c r="R656" s="610"/>
      <c r="S656" s="610"/>
      <c r="T656" s="610"/>
      <c r="U656" s="610"/>
      <c r="V656" s="610"/>
      <c r="W656" s="610"/>
      <c r="X656" s="610"/>
      <c r="Y656" s="610"/>
      <c r="Z656" s="641"/>
      <c r="BR656" s="1019" t="s">
        <v>469</v>
      </c>
      <c r="BS656" s="1019" t="s">
        <v>469</v>
      </c>
      <c r="BT656" s="1019" t="s">
        <v>1024</v>
      </c>
      <c r="BU656" s="1019" t="s">
        <v>687</v>
      </c>
    </row>
    <row r="657" spans="2:73" ht="12" x14ac:dyDescent="0.4">
      <c r="C657" s="951" t="s">
        <v>1044</v>
      </c>
      <c r="D657" s="609"/>
      <c r="E657" s="610"/>
      <c r="F657" s="610"/>
      <c r="G657" s="610"/>
      <c r="H657" s="610"/>
      <c r="I657" s="610"/>
      <c r="J657" s="610"/>
      <c r="K657" s="610"/>
      <c r="L657" s="610"/>
      <c r="M657" s="610"/>
      <c r="N657" s="610"/>
      <c r="O657" s="610"/>
      <c r="P657" s="610"/>
      <c r="Q657" s="195" t="s">
        <v>96</v>
      </c>
      <c r="R657" s="610"/>
      <c r="S657" s="610"/>
      <c r="T657" s="610"/>
      <c r="U657" s="610"/>
      <c r="V657" s="610"/>
      <c r="W657" s="610"/>
      <c r="X657" s="610"/>
      <c r="Y657" s="611"/>
      <c r="Z657" s="951" t="s">
        <v>1044</v>
      </c>
      <c r="BR657" s="1019" t="s">
        <v>1044</v>
      </c>
      <c r="BS657" s="1019" t="s">
        <v>439</v>
      </c>
      <c r="BT657" s="1019" t="s">
        <v>643</v>
      </c>
      <c r="BU657" s="1019" t="s">
        <v>707</v>
      </c>
    </row>
    <row r="658" spans="2:73" ht="12" x14ac:dyDescent="0.4">
      <c r="C658" s="1088" t="str">
        <f>IF($AB$3="ON","→","")</f>
        <v>→</v>
      </c>
      <c r="D658" s="1056" t="str">
        <f>IF($AB$3="ON","→","")</f>
        <v>→</v>
      </c>
      <c r="E658" s="949" t="s">
        <v>1043</v>
      </c>
      <c r="F658" s="610"/>
      <c r="G658" s="1052" t="str">
        <f t="shared" ref="G658:Z658" si="36">IF($AB$3="ON","→","")</f>
        <v>→</v>
      </c>
      <c r="H658" s="1052" t="str">
        <f t="shared" si="36"/>
        <v>→</v>
      </c>
      <c r="I658" s="1052" t="str">
        <f t="shared" si="36"/>
        <v>→</v>
      </c>
      <c r="J658" s="1052" t="str">
        <f t="shared" si="36"/>
        <v>→</v>
      </c>
      <c r="K658" s="1052" t="str">
        <f t="shared" si="36"/>
        <v>→</v>
      </c>
      <c r="L658" s="1052" t="str">
        <f t="shared" si="36"/>
        <v>→</v>
      </c>
      <c r="M658" s="1052" t="str">
        <f t="shared" si="36"/>
        <v>→</v>
      </c>
      <c r="N658" s="1052" t="str">
        <f t="shared" si="36"/>
        <v>→</v>
      </c>
      <c r="O658" s="1052" t="str">
        <f t="shared" si="36"/>
        <v>→</v>
      </c>
      <c r="P658" s="1052" t="str">
        <f t="shared" si="36"/>
        <v>→</v>
      </c>
      <c r="Q658" s="1052" t="str">
        <f t="shared" si="36"/>
        <v>→</v>
      </c>
      <c r="R658" s="1052" t="str">
        <f t="shared" si="36"/>
        <v>→</v>
      </c>
      <c r="S658" s="1052" t="str">
        <f t="shared" si="36"/>
        <v>→</v>
      </c>
      <c r="T658" s="1052" t="str">
        <f t="shared" si="36"/>
        <v>→</v>
      </c>
      <c r="U658" s="1052" t="str">
        <f t="shared" si="36"/>
        <v>→</v>
      </c>
      <c r="V658" s="1052" t="str">
        <f t="shared" si="36"/>
        <v>→</v>
      </c>
      <c r="W658" s="1052" t="str">
        <f t="shared" si="36"/>
        <v>→</v>
      </c>
      <c r="X658" s="1052" t="str">
        <f t="shared" si="36"/>
        <v>→</v>
      </c>
      <c r="Y658" s="1075" t="str">
        <f t="shared" si="36"/>
        <v>→</v>
      </c>
      <c r="Z658" s="1088" t="str">
        <f t="shared" si="36"/>
        <v>→</v>
      </c>
      <c r="BR658" s="1019" t="s">
        <v>1044</v>
      </c>
      <c r="BS658" s="1019" t="s">
        <v>439</v>
      </c>
      <c r="BT658" s="1019" t="s">
        <v>643</v>
      </c>
      <c r="BU658" s="1019" t="s">
        <v>1045</v>
      </c>
    </row>
    <row r="659" spans="2:73" ht="12" x14ac:dyDescent="0.4">
      <c r="C659" s="950"/>
      <c r="D659" s="612"/>
      <c r="E659" s="613"/>
      <c r="F659" s="613"/>
      <c r="G659" s="613"/>
      <c r="H659" s="613"/>
      <c r="I659" s="613"/>
      <c r="J659" s="613"/>
      <c r="K659" s="613"/>
      <c r="L659" s="613"/>
      <c r="M659" s="613"/>
      <c r="N659" s="613"/>
      <c r="O659" s="613"/>
      <c r="P659" s="613"/>
      <c r="Q659" s="613"/>
      <c r="R659" s="613"/>
      <c r="S659" s="613"/>
      <c r="T659" s="613"/>
      <c r="U659" s="613"/>
      <c r="V659" s="613"/>
      <c r="W659" s="613"/>
      <c r="X659" s="613"/>
      <c r="Y659" s="614"/>
      <c r="Z659" s="950"/>
      <c r="BR659" s="1019" t="s">
        <v>96</v>
      </c>
      <c r="BS659" s="1019" t="s">
        <v>96</v>
      </c>
      <c r="BT659" s="1019" t="s">
        <v>539</v>
      </c>
      <c r="BU659" s="1019" t="s">
        <v>844</v>
      </c>
    </row>
    <row r="660" spans="2:73" ht="12" x14ac:dyDescent="0.4">
      <c r="B660" s="125">
        <v>10</v>
      </c>
      <c r="C660" s="440" t="s">
        <v>1000</v>
      </c>
      <c r="D660" s="431"/>
      <c r="E660" s="431"/>
      <c r="F660" s="431"/>
      <c r="G660" s="431"/>
      <c r="H660" s="431"/>
      <c r="I660" s="431"/>
      <c r="J660" s="431"/>
      <c r="K660" s="431"/>
      <c r="L660" s="431"/>
      <c r="M660" s="431"/>
      <c r="N660" s="431"/>
      <c r="O660" s="431"/>
      <c r="P660" s="431"/>
      <c r="Q660" s="431"/>
      <c r="R660" s="431"/>
      <c r="S660" s="431"/>
      <c r="T660" s="431"/>
      <c r="U660" s="431"/>
      <c r="V660" s="431"/>
      <c r="W660" s="431"/>
      <c r="X660" s="431"/>
      <c r="Y660" s="431"/>
      <c r="Z660" s="441"/>
      <c r="BR660" s="1019" t="s">
        <v>96</v>
      </c>
      <c r="BS660" s="1019" t="s">
        <v>96</v>
      </c>
      <c r="BT660" s="1019" t="s">
        <v>539</v>
      </c>
      <c r="BU660" s="1019" t="s">
        <v>926</v>
      </c>
    </row>
    <row r="661" spans="2:73" ht="12" x14ac:dyDescent="0.4">
      <c r="C661" s="433"/>
      <c r="D661" s="434"/>
      <c r="E661" s="133"/>
      <c r="F661" s="133"/>
      <c r="G661" s="133"/>
      <c r="H661" s="133"/>
      <c r="I661" s="133"/>
      <c r="J661" s="133"/>
      <c r="K661" s="434"/>
      <c r="L661" s="434"/>
      <c r="M661" s="434"/>
      <c r="N661" s="434"/>
      <c r="O661" s="434"/>
      <c r="P661" s="434"/>
      <c r="Q661" s="434"/>
      <c r="R661" s="434"/>
      <c r="S661" s="434"/>
      <c r="T661" s="434"/>
      <c r="U661" s="434"/>
      <c r="V661" s="434"/>
      <c r="W661" s="434"/>
      <c r="X661" s="434"/>
      <c r="Y661" s="434"/>
      <c r="Z661" s="435"/>
      <c r="BR661" s="1019" t="s">
        <v>96</v>
      </c>
      <c r="BS661" s="1019" t="s">
        <v>96</v>
      </c>
      <c r="BT661" s="1019" t="s">
        <v>539</v>
      </c>
      <c r="BU661" s="1019" t="s">
        <v>1046</v>
      </c>
    </row>
    <row r="662" spans="2:73" x14ac:dyDescent="0.4">
      <c r="C662" s="615"/>
      <c r="D662" s="608"/>
      <c r="E662" s="850" t="s">
        <v>469</v>
      </c>
      <c r="F662" s="845"/>
      <c r="G662" s="845"/>
      <c r="H662" s="845"/>
      <c r="I662" s="845"/>
      <c r="J662" s="848"/>
      <c r="K662" s="606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26"/>
    </row>
    <row r="663" spans="2:73" x14ac:dyDescent="0.4">
      <c r="C663" s="616"/>
      <c r="D663" s="611"/>
      <c r="E663" s="846"/>
      <c r="F663" s="847"/>
      <c r="G663" s="847"/>
      <c r="H663" s="847"/>
      <c r="I663" s="847"/>
      <c r="J663" s="849"/>
      <c r="K663" s="609"/>
      <c r="L663" s="610"/>
      <c r="M663" s="610"/>
      <c r="N663" s="610"/>
      <c r="O663" s="610"/>
      <c r="P663" s="610"/>
      <c r="Q663" s="610"/>
      <c r="R663" s="610"/>
      <c r="S663" s="610"/>
      <c r="T663" s="610"/>
      <c r="U663" s="610"/>
      <c r="V663" s="610"/>
      <c r="W663" s="610"/>
      <c r="X663" s="610"/>
      <c r="Y663" s="610"/>
      <c r="Z663" s="624"/>
    </row>
    <row r="664" spans="2:73" x14ac:dyDescent="0.4">
      <c r="C664" s="616"/>
      <c r="D664" s="610"/>
      <c r="E664" s="607"/>
      <c r="F664" s="607"/>
      <c r="G664" s="607"/>
      <c r="H664" s="607"/>
      <c r="I664" s="607"/>
      <c r="J664" s="607"/>
      <c r="K664" s="610"/>
      <c r="L664" s="610"/>
      <c r="M664" s="610"/>
      <c r="N664" s="610"/>
      <c r="O664" s="610"/>
      <c r="P664" s="610"/>
      <c r="Q664" s="610"/>
      <c r="R664" s="610"/>
      <c r="S664" s="610"/>
      <c r="T664" s="610"/>
      <c r="U664" s="610"/>
      <c r="V664" s="610"/>
      <c r="W664" s="610"/>
      <c r="X664" s="610"/>
      <c r="Y664" s="610"/>
      <c r="Z664" s="624"/>
    </row>
    <row r="665" spans="2:73" x14ac:dyDescent="0.4">
      <c r="B665" s="125">
        <v>15</v>
      </c>
      <c r="C665" s="616"/>
      <c r="D665" s="610"/>
      <c r="E665" s="610"/>
      <c r="F665" s="610"/>
      <c r="G665" s="610"/>
      <c r="H665" s="610"/>
      <c r="I665" s="610"/>
      <c r="J665" s="610"/>
      <c r="K665" s="610"/>
      <c r="L665" s="610"/>
      <c r="M665" s="610"/>
      <c r="N665" s="610"/>
      <c r="O665" s="610"/>
      <c r="P665" s="610"/>
      <c r="Q665" s="610"/>
      <c r="R665" s="610"/>
      <c r="S665" s="610"/>
      <c r="T665" s="610"/>
      <c r="U665" s="610"/>
      <c r="V665" s="610"/>
      <c r="W665" s="610"/>
      <c r="X665" s="610"/>
      <c r="Y665" s="610"/>
      <c r="Z665" s="624"/>
    </row>
    <row r="666" spans="2:73" x14ac:dyDescent="0.4">
      <c r="C666" s="617"/>
      <c r="D666" s="613"/>
      <c r="E666" s="613"/>
      <c r="F666" s="613"/>
      <c r="G666" s="613"/>
      <c r="H666" s="613"/>
      <c r="I666" s="613"/>
      <c r="J666" s="613"/>
      <c r="K666" s="613"/>
      <c r="L666" s="613"/>
      <c r="M666" s="613"/>
      <c r="N666" s="613"/>
      <c r="O666" s="613"/>
      <c r="P666" s="613"/>
      <c r="Q666" s="613"/>
      <c r="R666" s="613"/>
      <c r="S666" s="613"/>
      <c r="T666" s="613"/>
      <c r="U666" s="613"/>
      <c r="V666" s="613"/>
      <c r="W666" s="613"/>
      <c r="X666" s="613"/>
      <c r="Y666" s="613"/>
      <c r="Z666" s="641"/>
    </row>
    <row r="667" spans="2:73" x14ac:dyDescent="0.4">
      <c r="C667" s="146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8"/>
    </row>
    <row r="671" spans="2:73" ht="15.75" x14ac:dyDescent="0.4">
      <c r="B671" s="122" t="s">
        <v>1047</v>
      </c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  <c r="AP671" s="121"/>
      <c r="AQ671" s="121"/>
      <c r="AR671" s="121"/>
      <c r="AS671" s="121"/>
      <c r="AT671" s="121"/>
      <c r="AU671" s="121"/>
      <c r="AV671" s="121"/>
      <c r="AW671" s="121"/>
      <c r="AX671" s="121"/>
      <c r="AY671" s="121"/>
      <c r="AZ671" s="121"/>
      <c r="BA671" s="121"/>
      <c r="BB671" s="121"/>
      <c r="BC671" s="121"/>
      <c r="BD671" s="121"/>
      <c r="BE671" s="121"/>
      <c r="BF671" s="121"/>
      <c r="BG671" s="121"/>
      <c r="BH671" s="121"/>
      <c r="BI671" s="121"/>
      <c r="BJ671" s="123" t="s">
        <v>1048</v>
      </c>
      <c r="BK671" s="121"/>
      <c r="BL671" s="121"/>
      <c r="BM671" s="121"/>
      <c r="BN671" s="121"/>
      <c r="BO671" s="121"/>
      <c r="BP671" s="121"/>
      <c r="BQ671" s="121"/>
      <c r="BR671" s="121"/>
      <c r="BS671" s="121"/>
      <c r="BT671" s="121"/>
      <c r="BU671" s="121"/>
    </row>
    <row r="673" spans="2:73" ht="12.75" thickBot="1" x14ac:dyDescent="0.45">
      <c r="C673" s="125">
        <v>0</v>
      </c>
      <c r="H673" s="125">
        <v>5</v>
      </c>
      <c r="BR673" s="272" t="s">
        <v>310</v>
      </c>
      <c r="BS673" s="272" t="s">
        <v>529</v>
      </c>
      <c r="BT673" s="272" t="s">
        <v>530</v>
      </c>
      <c r="BU673" s="272" t="s">
        <v>531</v>
      </c>
    </row>
    <row r="674" spans="2:73" ht="12" x14ac:dyDescent="0.4">
      <c r="B674" s="125">
        <v>0</v>
      </c>
      <c r="C674" s="751" t="s">
        <v>1049</v>
      </c>
      <c r="D674" s="471"/>
      <c r="E674" s="463"/>
      <c r="F674" s="463"/>
      <c r="G674" s="463"/>
      <c r="H674" s="463"/>
      <c r="I674" s="464"/>
      <c r="J674" s="751" t="s">
        <v>1049</v>
      </c>
      <c r="BR674" s="1019" t="s">
        <v>1049</v>
      </c>
      <c r="BS674" s="1019" t="s">
        <v>435</v>
      </c>
      <c r="BT674" s="1019" t="s">
        <v>840</v>
      </c>
      <c r="BU674" s="1019" t="s">
        <v>753</v>
      </c>
    </row>
    <row r="675" spans="2:73" ht="12" x14ac:dyDescent="0.4">
      <c r="C675" s="749"/>
      <c r="D675" s="454"/>
      <c r="E675" s="455"/>
      <c r="F675" s="455"/>
      <c r="G675" s="1037" t="str">
        <f t="shared" ref="G675:G681" si="37">IF($AB$3="ON","↑","")</f>
        <v>↑</v>
      </c>
      <c r="H675" s="455"/>
      <c r="I675" s="456"/>
      <c r="J675" s="749"/>
      <c r="BR675" s="1019" t="s">
        <v>1049</v>
      </c>
      <c r="BS675" s="1019" t="s">
        <v>435</v>
      </c>
      <c r="BT675" s="1019" t="s">
        <v>840</v>
      </c>
      <c r="BU675" s="1019" t="s">
        <v>859</v>
      </c>
    </row>
    <row r="676" spans="2:73" ht="12" x14ac:dyDescent="0.4">
      <c r="C676" s="749"/>
      <c r="D676" s="454"/>
      <c r="E676" s="455"/>
      <c r="F676" s="455"/>
      <c r="G676" s="1037" t="str">
        <f t="shared" si="37"/>
        <v>↑</v>
      </c>
      <c r="H676" s="455"/>
      <c r="I676" s="456"/>
      <c r="J676" s="749"/>
      <c r="BR676" s="1019" t="s">
        <v>96</v>
      </c>
      <c r="BS676" s="1019" t="s">
        <v>96</v>
      </c>
      <c r="BT676" s="1019" t="s">
        <v>539</v>
      </c>
      <c r="BU676" s="1019" t="s">
        <v>907</v>
      </c>
    </row>
    <row r="677" spans="2:73" ht="12" x14ac:dyDescent="0.4">
      <c r="C677" s="749"/>
      <c r="D677" s="454"/>
      <c r="E677" s="455"/>
      <c r="F677" s="455"/>
      <c r="G677" s="1037" t="str">
        <f t="shared" si="37"/>
        <v>↑</v>
      </c>
      <c r="H677" s="455"/>
      <c r="I677" s="456"/>
      <c r="J677" s="749"/>
      <c r="BR677" s="1019" t="s">
        <v>508</v>
      </c>
      <c r="BS677" s="1019" t="s">
        <v>486</v>
      </c>
      <c r="BT677" s="1019" t="s">
        <v>539</v>
      </c>
      <c r="BU677" s="1019" t="s">
        <v>1050</v>
      </c>
    </row>
    <row r="678" spans="2:73" ht="12" x14ac:dyDescent="0.4">
      <c r="C678" s="749"/>
      <c r="D678" s="454"/>
      <c r="E678" s="455"/>
      <c r="F678" s="455"/>
      <c r="G678" s="1037" t="str">
        <f t="shared" si="37"/>
        <v>↑</v>
      </c>
      <c r="H678" s="455"/>
      <c r="I678" s="456"/>
      <c r="J678" s="749"/>
    </row>
    <row r="679" spans="2:73" ht="12" x14ac:dyDescent="0.4">
      <c r="B679" s="125">
        <v>5</v>
      </c>
      <c r="C679" s="749"/>
      <c r="D679" s="454"/>
      <c r="E679" s="455"/>
      <c r="F679" s="455"/>
      <c r="G679" s="1037" t="str">
        <f t="shared" si="37"/>
        <v>↑</v>
      </c>
      <c r="H679" s="455"/>
      <c r="I679" s="456"/>
      <c r="J679" s="749"/>
    </row>
    <row r="680" spans="2:73" ht="12" x14ac:dyDescent="0.4">
      <c r="C680" s="749"/>
      <c r="D680" s="454"/>
      <c r="E680" s="455"/>
      <c r="F680" s="455"/>
      <c r="G680" s="1037" t="str">
        <f t="shared" si="37"/>
        <v>↑</v>
      </c>
      <c r="H680" s="455"/>
      <c r="I680" s="456"/>
      <c r="J680" s="749"/>
    </row>
    <row r="681" spans="2:73" ht="12" x14ac:dyDescent="0.4">
      <c r="C681" s="749"/>
      <c r="D681" s="454"/>
      <c r="E681" s="455"/>
      <c r="F681" s="455"/>
      <c r="G681" s="1037" t="str">
        <f t="shared" si="37"/>
        <v>↑</v>
      </c>
      <c r="H681" s="455"/>
      <c r="I681" s="456"/>
      <c r="J681" s="749"/>
    </row>
    <row r="682" spans="2:73" x14ac:dyDescent="0.4">
      <c r="C682" s="749"/>
      <c r="D682" s="454"/>
      <c r="E682" s="455"/>
      <c r="F682" s="455"/>
      <c r="G682" s="195" t="s">
        <v>96</v>
      </c>
      <c r="H682" s="455"/>
      <c r="I682" s="456"/>
      <c r="J682" s="749"/>
    </row>
    <row r="683" spans="2:73" ht="12" x14ac:dyDescent="0.4">
      <c r="C683" s="749"/>
      <c r="D683" s="454"/>
      <c r="E683" s="455"/>
      <c r="F683" s="455"/>
      <c r="G683" s="1037" t="str">
        <f t="shared" ref="G683:G692" si="38">IF($AB$3="ON","↑","")</f>
        <v>↑</v>
      </c>
      <c r="H683" s="455"/>
      <c r="I683" s="456"/>
      <c r="J683" s="749"/>
    </row>
    <row r="684" spans="2:73" ht="12" x14ac:dyDescent="0.4">
      <c r="B684" s="125">
        <v>10</v>
      </c>
      <c r="C684" s="749"/>
      <c r="D684" s="454"/>
      <c r="E684" s="455"/>
      <c r="F684" s="455"/>
      <c r="G684" s="1037" t="str">
        <f t="shared" si="38"/>
        <v>↑</v>
      </c>
      <c r="H684" s="455"/>
      <c r="I684" s="456"/>
      <c r="J684" s="749"/>
    </row>
    <row r="685" spans="2:73" ht="12" x14ac:dyDescent="0.4">
      <c r="C685" s="749"/>
      <c r="D685" s="454"/>
      <c r="E685" s="455"/>
      <c r="F685" s="455"/>
      <c r="G685" s="1037" t="str">
        <f t="shared" si="38"/>
        <v>↑</v>
      </c>
      <c r="H685" s="455"/>
      <c r="I685" s="456"/>
      <c r="J685" s="749"/>
    </row>
    <row r="686" spans="2:73" ht="12" x14ac:dyDescent="0.4">
      <c r="C686" s="749"/>
      <c r="D686" s="454"/>
      <c r="E686" s="455"/>
      <c r="F686" s="455"/>
      <c r="G686" s="1037" t="str">
        <f t="shared" si="38"/>
        <v>↑</v>
      </c>
      <c r="H686" s="455"/>
      <c r="I686" s="456"/>
      <c r="J686" s="749"/>
    </row>
    <row r="687" spans="2:73" ht="12" x14ac:dyDescent="0.4">
      <c r="C687" s="749"/>
      <c r="D687" s="454"/>
      <c r="E687" s="455"/>
      <c r="F687" s="455"/>
      <c r="G687" s="1037" t="str">
        <f t="shared" si="38"/>
        <v>↑</v>
      </c>
      <c r="H687" s="455"/>
      <c r="I687" s="456"/>
      <c r="J687" s="749"/>
    </row>
    <row r="688" spans="2:73" ht="12" x14ac:dyDescent="0.4">
      <c r="C688" s="749"/>
      <c r="D688" s="454"/>
      <c r="E688" s="455"/>
      <c r="F688" s="455"/>
      <c r="G688" s="1037" t="str">
        <f t="shared" si="38"/>
        <v>↑</v>
      </c>
      <c r="H688" s="455"/>
      <c r="I688" s="456"/>
      <c r="J688" s="749"/>
    </row>
    <row r="689" spans="2:73" ht="12" x14ac:dyDescent="0.4">
      <c r="B689" s="125">
        <v>15</v>
      </c>
      <c r="C689" s="749"/>
      <c r="D689" s="454"/>
      <c r="E689" s="455"/>
      <c r="F689" s="455"/>
      <c r="G689" s="1037" t="str">
        <f t="shared" si="38"/>
        <v>↑</v>
      </c>
      <c r="H689" s="455"/>
      <c r="I689" s="456"/>
      <c r="J689" s="749"/>
    </row>
    <row r="690" spans="2:73" ht="12" x14ac:dyDescent="0.4">
      <c r="C690" s="749"/>
      <c r="D690" s="454"/>
      <c r="E690" s="455"/>
      <c r="F690" s="455"/>
      <c r="G690" s="1037" t="str">
        <f t="shared" si="38"/>
        <v>↑</v>
      </c>
      <c r="H690" s="455"/>
      <c r="I690" s="456"/>
      <c r="J690" s="749"/>
    </row>
    <row r="691" spans="2:73" ht="12" x14ac:dyDescent="0.4">
      <c r="C691" s="749"/>
      <c r="D691" s="454"/>
      <c r="E691" s="455"/>
      <c r="F691" s="455"/>
      <c r="G691" s="1037" t="str">
        <f t="shared" si="38"/>
        <v>↑</v>
      </c>
      <c r="H691" s="455"/>
      <c r="I691" s="456"/>
      <c r="J691" s="749"/>
    </row>
    <row r="692" spans="2:73" ht="12" x14ac:dyDescent="0.4">
      <c r="C692" s="749"/>
      <c r="D692" s="454"/>
      <c r="E692" s="455"/>
      <c r="F692" s="455"/>
      <c r="G692" s="1037" t="str">
        <f t="shared" si="38"/>
        <v>↑</v>
      </c>
      <c r="H692" s="455"/>
      <c r="I692" s="456"/>
      <c r="J692" s="749"/>
    </row>
    <row r="693" spans="2:73" ht="11.25" thickBot="1" x14ac:dyDescent="0.45">
      <c r="C693" s="750"/>
      <c r="D693" s="482"/>
      <c r="E693" s="466"/>
      <c r="F693" s="466"/>
      <c r="G693" s="643" t="s">
        <v>508</v>
      </c>
      <c r="H693" s="466"/>
      <c r="I693" s="467"/>
      <c r="J693" s="750"/>
    </row>
    <row r="697" spans="2:73" ht="15.75" x14ac:dyDescent="0.4">
      <c r="B697" s="122" t="s">
        <v>1051</v>
      </c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3" t="s">
        <v>1052</v>
      </c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</row>
    <row r="699" spans="2:73" ht="12.75" thickBot="1" x14ac:dyDescent="0.45">
      <c r="C699" s="125">
        <v>0</v>
      </c>
      <c r="H699" s="125">
        <v>5</v>
      </c>
      <c r="BR699" s="272" t="s">
        <v>310</v>
      </c>
      <c r="BS699" s="272" t="s">
        <v>529</v>
      </c>
      <c r="BT699" s="272" t="s">
        <v>530</v>
      </c>
      <c r="BU699" s="272" t="s">
        <v>531</v>
      </c>
    </row>
    <row r="700" spans="2:73" ht="12" x14ac:dyDescent="0.4">
      <c r="B700" s="125">
        <v>0</v>
      </c>
      <c r="C700" s="655"/>
      <c r="D700" s="656"/>
      <c r="E700" s="656"/>
      <c r="F700" s="656"/>
      <c r="G700" s="656"/>
      <c r="H700" s="656"/>
      <c r="I700" s="960" t="s">
        <v>1054</v>
      </c>
      <c r="J700" s="656"/>
      <c r="K700" s="657"/>
      <c r="L700" s="953" t="s">
        <v>422</v>
      </c>
      <c r="BR700" s="1019" t="s">
        <v>422</v>
      </c>
      <c r="BS700" s="1019" t="s">
        <v>422</v>
      </c>
      <c r="BT700" s="1019" t="s">
        <v>1055</v>
      </c>
      <c r="BU700" s="1019" t="s">
        <v>1056</v>
      </c>
    </row>
    <row r="701" spans="2:73" ht="12" x14ac:dyDescent="0.4">
      <c r="C701" s="653"/>
      <c r="D701" s="565"/>
      <c r="E701" s="565"/>
      <c r="F701" s="565"/>
      <c r="G701" s="1058" t="str">
        <f t="shared" ref="G701:G722" si="39">IF($AB$3="ON","↑","")</f>
        <v>↑</v>
      </c>
      <c r="H701" s="565"/>
      <c r="I701" s="565"/>
      <c r="J701" s="565"/>
      <c r="K701" s="574"/>
      <c r="L701" s="952"/>
      <c r="BR701" s="1019" t="s">
        <v>471</v>
      </c>
      <c r="BS701" s="1019" t="s">
        <v>471</v>
      </c>
      <c r="BT701" s="1019" t="s">
        <v>780</v>
      </c>
      <c r="BU701" s="1019" t="s">
        <v>906</v>
      </c>
    </row>
    <row r="702" spans="2:73" ht="12" x14ac:dyDescent="0.4">
      <c r="C702" s="653"/>
      <c r="D702" s="565"/>
      <c r="E702" s="565"/>
      <c r="F702" s="565"/>
      <c r="G702" s="1058" t="str">
        <f t="shared" si="39"/>
        <v>↑</v>
      </c>
      <c r="H702" s="565"/>
      <c r="I702" s="565"/>
      <c r="J702" s="565"/>
      <c r="K702" s="574"/>
      <c r="L702" s="952"/>
      <c r="BR702" s="1019" t="s">
        <v>1054</v>
      </c>
      <c r="BS702" s="1019" t="s">
        <v>481</v>
      </c>
      <c r="BT702" s="1019" t="s">
        <v>539</v>
      </c>
      <c r="BU702" s="1019" t="s">
        <v>942</v>
      </c>
    </row>
    <row r="703" spans="2:73" ht="12" x14ac:dyDescent="0.4">
      <c r="C703" s="653"/>
      <c r="D703" s="565"/>
      <c r="E703" s="565"/>
      <c r="F703" s="565"/>
      <c r="G703" s="1058" t="str">
        <f t="shared" si="39"/>
        <v>↑</v>
      </c>
      <c r="H703" s="565"/>
      <c r="I703" s="565"/>
      <c r="J703" s="565"/>
      <c r="K703" s="574"/>
      <c r="L703" s="952"/>
      <c r="BR703" s="1019" t="s">
        <v>96</v>
      </c>
      <c r="BS703" s="1019" t="s">
        <v>96</v>
      </c>
      <c r="BT703" s="1019" t="s">
        <v>539</v>
      </c>
      <c r="BU703" s="1019" t="s">
        <v>1057</v>
      </c>
    </row>
    <row r="704" spans="2:73" ht="12" x14ac:dyDescent="0.4">
      <c r="C704" s="653"/>
      <c r="D704" s="414" t="s">
        <v>1053</v>
      </c>
      <c r="E704" s="565"/>
      <c r="F704" s="565"/>
      <c r="G704" s="1058" t="str">
        <f t="shared" si="39"/>
        <v>↑</v>
      </c>
      <c r="H704" s="565"/>
      <c r="I704" s="565"/>
      <c r="J704" s="565"/>
      <c r="K704" s="574"/>
      <c r="L704" s="952"/>
      <c r="BR704" s="1019" t="s">
        <v>508</v>
      </c>
      <c r="BS704" s="1019" t="s">
        <v>486</v>
      </c>
      <c r="BT704" s="1019" t="s">
        <v>539</v>
      </c>
      <c r="BU704" s="1019" t="s">
        <v>1058</v>
      </c>
    </row>
    <row r="705" spans="2:12" ht="12" x14ac:dyDescent="0.4">
      <c r="B705" s="125">
        <v>5</v>
      </c>
      <c r="C705" s="653"/>
      <c r="D705" s="565"/>
      <c r="E705" s="565"/>
      <c r="F705" s="565"/>
      <c r="G705" s="1058" t="str">
        <f t="shared" si="39"/>
        <v>↑</v>
      </c>
      <c r="H705" s="565"/>
      <c r="I705" s="565"/>
      <c r="J705" s="565"/>
      <c r="K705" s="574"/>
      <c r="L705" s="952"/>
    </row>
    <row r="706" spans="2:12" ht="12" x14ac:dyDescent="0.4">
      <c r="C706" s="653"/>
      <c r="D706" s="565"/>
      <c r="E706" s="565"/>
      <c r="F706" s="565"/>
      <c r="G706" s="1058" t="str">
        <f t="shared" si="39"/>
        <v>↑</v>
      </c>
      <c r="H706" s="565"/>
      <c r="I706" s="565"/>
      <c r="J706" s="565"/>
      <c r="K706" s="574"/>
      <c r="L706" s="952"/>
    </row>
    <row r="707" spans="2:12" ht="12" x14ac:dyDescent="0.4">
      <c r="C707" s="653"/>
      <c r="D707" s="565"/>
      <c r="E707" s="565"/>
      <c r="F707" s="565"/>
      <c r="G707" s="1058" t="str">
        <f t="shared" si="39"/>
        <v>↑</v>
      </c>
      <c r="H707" s="565"/>
      <c r="I707" s="565"/>
      <c r="J707" s="565"/>
      <c r="K707" s="574"/>
      <c r="L707" s="952"/>
    </row>
    <row r="708" spans="2:12" ht="12" x14ac:dyDescent="0.4">
      <c r="C708" s="653"/>
      <c r="D708" s="565"/>
      <c r="E708" s="565"/>
      <c r="F708" s="565"/>
      <c r="G708" s="1058" t="str">
        <f t="shared" si="39"/>
        <v>↑</v>
      </c>
      <c r="H708" s="565"/>
      <c r="I708" s="565"/>
      <c r="J708" s="565"/>
      <c r="K708" s="574"/>
      <c r="L708" s="952"/>
    </row>
    <row r="709" spans="2:12" ht="12" x14ac:dyDescent="0.4">
      <c r="C709" s="653"/>
      <c r="D709" s="565"/>
      <c r="E709" s="565"/>
      <c r="F709" s="565"/>
      <c r="G709" s="1058" t="str">
        <f t="shared" si="39"/>
        <v>↑</v>
      </c>
      <c r="H709" s="565"/>
      <c r="I709" s="565"/>
      <c r="J709" s="565"/>
      <c r="K709" s="574"/>
      <c r="L709" s="952"/>
    </row>
    <row r="710" spans="2:12" ht="12" x14ac:dyDescent="0.4">
      <c r="B710" s="125">
        <v>10</v>
      </c>
      <c r="C710" s="653"/>
      <c r="D710" s="565"/>
      <c r="E710" s="565"/>
      <c r="F710" s="565"/>
      <c r="G710" s="1058" t="str">
        <f t="shared" si="39"/>
        <v>↑</v>
      </c>
      <c r="H710" s="195" t="s">
        <v>96</v>
      </c>
      <c r="I710" s="565"/>
      <c r="J710" s="565"/>
      <c r="K710" s="574"/>
      <c r="L710" s="952"/>
    </row>
    <row r="711" spans="2:12" ht="12" x14ac:dyDescent="0.4">
      <c r="C711" s="653"/>
      <c r="D711" s="565"/>
      <c r="E711" s="565"/>
      <c r="F711" s="565"/>
      <c r="G711" s="1058" t="str">
        <f t="shared" si="39"/>
        <v>↑</v>
      </c>
      <c r="H711" s="565"/>
      <c r="I711" s="565"/>
      <c r="J711" s="565"/>
      <c r="K711" s="574"/>
      <c r="L711" s="952"/>
    </row>
    <row r="712" spans="2:12" ht="12" x14ac:dyDescent="0.4">
      <c r="C712" s="653"/>
      <c r="D712" s="565"/>
      <c r="E712" s="565"/>
      <c r="F712" s="565"/>
      <c r="G712" s="1058" t="str">
        <f t="shared" si="39"/>
        <v>↑</v>
      </c>
      <c r="H712" s="565"/>
      <c r="I712" s="565"/>
      <c r="J712" s="565"/>
      <c r="K712" s="574"/>
      <c r="L712" s="952"/>
    </row>
    <row r="713" spans="2:12" ht="12" x14ac:dyDescent="0.4">
      <c r="C713" s="653"/>
      <c r="D713" s="565"/>
      <c r="E713" s="565"/>
      <c r="F713" s="565"/>
      <c r="G713" s="1058" t="str">
        <f t="shared" si="39"/>
        <v>↑</v>
      </c>
      <c r="H713" s="565"/>
      <c r="I713" s="565"/>
      <c r="J713" s="565"/>
      <c r="K713" s="574"/>
      <c r="L713" s="952"/>
    </row>
    <row r="714" spans="2:12" ht="12" x14ac:dyDescent="0.4">
      <c r="C714" s="653"/>
      <c r="D714" s="414" t="s">
        <v>1053</v>
      </c>
      <c r="E714" s="565"/>
      <c r="F714" s="565"/>
      <c r="G714" s="1058" t="str">
        <f t="shared" si="39"/>
        <v>↑</v>
      </c>
      <c r="H714" s="565"/>
      <c r="I714" s="565"/>
      <c r="J714" s="565"/>
      <c r="K714" s="574"/>
      <c r="L714" s="952"/>
    </row>
    <row r="715" spans="2:12" ht="12" x14ac:dyDescent="0.4">
      <c r="B715" s="125">
        <v>15</v>
      </c>
      <c r="C715" s="653"/>
      <c r="D715" s="565"/>
      <c r="E715" s="565"/>
      <c r="F715" s="565"/>
      <c r="G715" s="1058" t="str">
        <f t="shared" si="39"/>
        <v>↑</v>
      </c>
      <c r="H715" s="565"/>
      <c r="I715" s="565"/>
      <c r="J715" s="565"/>
      <c r="K715" s="574"/>
      <c r="L715" s="952"/>
    </row>
    <row r="716" spans="2:12" ht="12" x14ac:dyDescent="0.4">
      <c r="C716" s="653"/>
      <c r="D716" s="565"/>
      <c r="E716" s="565"/>
      <c r="F716" s="565"/>
      <c r="G716" s="1058" t="str">
        <f t="shared" si="39"/>
        <v>↑</v>
      </c>
      <c r="H716" s="565"/>
      <c r="I716" s="565"/>
      <c r="J716" s="565"/>
      <c r="K716" s="574"/>
      <c r="L716" s="952"/>
    </row>
    <row r="717" spans="2:12" ht="12" x14ac:dyDescent="0.4">
      <c r="C717" s="653"/>
      <c r="D717" s="565"/>
      <c r="E717" s="565"/>
      <c r="F717" s="565"/>
      <c r="G717" s="1058" t="str">
        <f t="shared" si="39"/>
        <v>↑</v>
      </c>
      <c r="H717" s="565"/>
      <c r="I717" s="565"/>
      <c r="J717" s="565"/>
      <c r="K717" s="574"/>
      <c r="L717" s="952"/>
    </row>
    <row r="718" spans="2:12" ht="12" x14ac:dyDescent="0.4">
      <c r="C718" s="653"/>
      <c r="D718" s="565"/>
      <c r="E718" s="565"/>
      <c r="F718" s="565"/>
      <c r="G718" s="1058" t="str">
        <f t="shared" si="39"/>
        <v>↑</v>
      </c>
      <c r="H718" s="565"/>
      <c r="I718" s="565"/>
      <c r="J718" s="565"/>
      <c r="K718" s="574"/>
      <c r="L718" s="952"/>
    </row>
    <row r="719" spans="2:12" ht="12" x14ac:dyDescent="0.4">
      <c r="C719" s="653"/>
      <c r="D719" s="565"/>
      <c r="E719" s="565"/>
      <c r="F719" s="565"/>
      <c r="G719" s="1058" t="str">
        <f t="shared" si="39"/>
        <v>↑</v>
      </c>
      <c r="H719" s="565"/>
      <c r="I719" s="565"/>
      <c r="J719" s="565"/>
      <c r="K719" s="574"/>
      <c r="L719" s="952"/>
    </row>
    <row r="720" spans="2:12" ht="12" x14ac:dyDescent="0.4">
      <c r="B720" s="125">
        <v>20</v>
      </c>
      <c r="C720" s="653"/>
      <c r="D720" s="565"/>
      <c r="E720" s="565"/>
      <c r="F720" s="565"/>
      <c r="G720" s="1058" t="str">
        <f t="shared" si="39"/>
        <v>↑</v>
      </c>
      <c r="H720" s="565"/>
      <c r="I720" s="565"/>
      <c r="J720" s="565"/>
      <c r="K720" s="574"/>
      <c r="L720" s="952"/>
    </row>
    <row r="721" spans="2:73" ht="12" x14ac:dyDescent="0.4">
      <c r="C721" s="654"/>
      <c r="D721" s="650"/>
      <c r="E721" s="650"/>
      <c r="F721" s="650"/>
      <c r="G721" s="1086" t="str">
        <f t="shared" si="39"/>
        <v>↑</v>
      </c>
      <c r="H721" s="650"/>
      <c r="I721" s="650"/>
      <c r="J721" s="650"/>
      <c r="K721" s="651"/>
      <c r="L721" s="954"/>
    </row>
    <row r="722" spans="2:73" ht="12" x14ac:dyDescent="0.4">
      <c r="C722" s="631" t="s">
        <v>471</v>
      </c>
      <c r="D722" s="629"/>
      <c r="E722" s="629"/>
      <c r="F722" s="629"/>
      <c r="G722" s="1089" t="str">
        <f t="shared" si="39"/>
        <v>↑</v>
      </c>
      <c r="H722" s="629"/>
      <c r="I722" s="629"/>
      <c r="J722" s="629"/>
      <c r="K722" s="958"/>
      <c r="L722" s="959"/>
    </row>
    <row r="723" spans="2:73" ht="11.25" thickBot="1" x14ac:dyDescent="0.45">
      <c r="C723" s="955"/>
      <c r="D723" s="921"/>
      <c r="E723" s="921"/>
      <c r="F723" s="921"/>
      <c r="G723" s="767" t="s">
        <v>508</v>
      </c>
      <c r="H723" s="921"/>
      <c r="I723" s="921"/>
      <c r="J723" s="921"/>
      <c r="K723" s="956"/>
      <c r="L723" s="957"/>
    </row>
    <row r="727" spans="2:73" ht="15.75" x14ac:dyDescent="0.4">
      <c r="B727" s="122" t="s">
        <v>1059</v>
      </c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  <c r="AP727" s="121"/>
      <c r="AQ727" s="121"/>
      <c r="AR727" s="121"/>
      <c r="AS727" s="121"/>
      <c r="AT727" s="121"/>
      <c r="AU727" s="121"/>
      <c r="AV727" s="121"/>
      <c r="AW727" s="121"/>
      <c r="AX727" s="121"/>
      <c r="AY727" s="121"/>
      <c r="AZ727" s="121"/>
      <c r="BA727" s="121"/>
      <c r="BB727" s="121"/>
      <c r="BC727" s="121"/>
      <c r="BD727" s="121"/>
      <c r="BE727" s="121"/>
      <c r="BF727" s="121"/>
      <c r="BG727" s="121"/>
      <c r="BH727" s="121"/>
      <c r="BI727" s="121"/>
      <c r="BJ727" s="123" t="s">
        <v>1060</v>
      </c>
      <c r="BK727" s="121"/>
      <c r="BL727" s="121"/>
      <c r="BM727" s="121"/>
      <c r="BN727" s="121"/>
      <c r="BO727" s="121"/>
      <c r="BP727" s="121"/>
      <c r="BQ727" s="121"/>
      <c r="BR727" s="121"/>
      <c r="BS727" s="121"/>
      <c r="BT727" s="121"/>
      <c r="BU727" s="121"/>
    </row>
    <row r="729" spans="2:73" ht="12" x14ac:dyDescent="0.4">
      <c r="C729" s="125">
        <v>0</v>
      </c>
      <c r="H729" s="125">
        <v>5</v>
      </c>
      <c r="M729" s="125">
        <v>10</v>
      </c>
      <c r="BR729" s="272" t="s">
        <v>310</v>
      </c>
      <c r="BS729" s="272" t="s">
        <v>529</v>
      </c>
      <c r="BT729" s="272" t="s">
        <v>530</v>
      </c>
      <c r="BU729" s="272" t="s">
        <v>531</v>
      </c>
    </row>
    <row r="730" spans="2:73" ht="12" x14ac:dyDescent="0.4">
      <c r="B730" s="125">
        <v>0</v>
      </c>
      <c r="C730" s="773" t="s">
        <v>456</v>
      </c>
      <c r="D730" s="771"/>
      <c r="E730" s="771"/>
      <c r="F730" s="771"/>
      <c r="G730" s="771"/>
      <c r="H730" s="771"/>
      <c r="I730" s="771"/>
      <c r="J730" s="771"/>
      <c r="K730" s="771"/>
      <c r="L730" s="771"/>
      <c r="M730" s="771"/>
      <c r="N730" s="772"/>
      <c r="BR730" s="1019" t="s">
        <v>456</v>
      </c>
      <c r="BS730" s="1019" t="s">
        <v>456</v>
      </c>
      <c r="BT730" s="1019" t="s">
        <v>886</v>
      </c>
      <c r="BU730" s="1019" t="s">
        <v>753</v>
      </c>
    </row>
    <row r="731" spans="2:73" ht="12" x14ac:dyDescent="0.4">
      <c r="C731" s="615"/>
      <c r="D731" s="607"/>
      <c r="E731" s="607"/>
      <c r="F731" s="607"/>
      <c r="G731" s="607"/>
      <c r="H731" s="1055" t="str">
        <f t="shared" ref="H731:H744" si="40">IF($AB$3="ON","↑","")</f>
        <v>↑</v>
      </c>
      <c r="I731" s="607"/>
      <c r="J731" s="607"/>
      <c r="K731" s="607"/>
      <c r="L731" s="607"/>
      <c r="M731" s="607"/>
      <c r="N731" s="626"/>
      <c r="BR731" s="1019" t="s">
        <v>433</v>
      </c>
      <c r="BS731" s="1019" t="s">
        <v>433</v>
      </c>
      <c r="BT731" s="1019" t="s">
        <v>871</v>
      </c>
      <c r="BU731" s="1019" t="s">
        <v>786</v>
      </c>
    </row>
    <row r="732" spans="2:73" ht="12" x14ac:dyDescent="0.4">
      <c r="C732" s="616"/>
      <c r="D732" s="610"/>
      <c r="E732" s="610"/>
      <c r="F732" s="610"/>
      <c r="G732" s="610"/>
      <c r="H732" s="1052" t="str">
        <f t="shared" si="40"/>
        <v>↑</v>
      </c>
      <c r="I732" s="610"/>
      <c r="J732" s="610"/>
      <c r="K732" s="610"/>
      <c r="L732" s="610"/>
      <c r="M732" s="610"/>
      <c r="N732" s="624"/>
      <c r="BR732" s="1019" t="s">
        <v>508</v>
      </c>
      <c r="BS732" s="1019" t="s">
        <v>486</v>
      </c>
      <c r="BT732" s="1019" t="s">
        <v>539</v>
      </c>
      <c r="BU732" s="1019" t="s">
        <v>757</v>
      </c>
    </row>
    <row r="733" spans="2:73" ht="12" x14ac:dyDescent="0.4">
      <c r="C733" s="616"/>
      <c r="D733" s="610"/>
      <c r="E733" s="610"/>
      <c r="F733" s="610"/>
      <c r="G733" s="610"/>
      <c r="H733" s="1052" t="str">
        <f t="shared" si="40"/>
        <v>↑</v>
      </c>
      <c r="I733" s="610"/>
      <c r="J733" s="610"/>
      <c r="K733" s="610"/>
      <c r="L733" s="610"/>
      <c r="M733" s="610"/>
      <c r="N733" s="624"/>
    </row>
    <row r="734" spans="2:73" ht="12" x14ac:dyDescent="0.4">
      <c r="C734" s="616"/>
      <c r="D734" s="610"/>
      <c r="E734" s="610"/>
      <c r="F734" s="610"/>
      <c r="G734" s="610"/>
      <c r="H734" s="1052" t="str">
        <f t="shared" si="40"/>
        <v>↑</v>
      </c>
      <c r="I734" s="610"/>
      <c r="J734" s="610"/>
      <c r="K734" s="610"/>
      <c r="L734" s="610"/>
      <c r="M734" s="610"/>
      <c r="N734" s="624"/>
    </row>
    <row r="735" spans="2:73" ht="12" x14ac:dyDescent="0.4">
      <c r="B735" s="125">
        <v>5</v>
      </c>
      <c r="C735" s="616"/>
      <c r="D735" s="610"/>
      <c r="E735" s="613"/>
      <c r="F735" s="613"/>
      <c r="G735" s="613"/>
      <c r="H735" s="1053" t="str">
        <f t="shared" si="40"/>
        <v>↑</v>
      </c>
      <c r="I735" s="613"/>
      <c r="J735" s="613"/>
      <c r="K735" s="613"/>
      <c r="L735" s="613"/>
      <c r="M735" s="610"/>
      <c r="N735" s="624"/>
    </row>
    <row r="736" spans="2:73" ht="12" x14ac:dyDescent="0.4">
      <c r="C736" s="616"/>
      <c r="D736" s="611"/>
      <c r="E736" s="404" t="s">
        <v>433</v>
      </c>
      <c r="F736" s="396"/>
      <c r="G736" s="396"/>
      <c r="H736" s="1066" t="str">
        <f t="shared" si="40"/>
        <v>↑</v>
      </c>
      <c r="I736" s="396"/>
      <c r="J736" s="396"/>
      <c r="K736" s="396"/>
      <c r="L736" s="401"/>
      <c r="M736" s="609"/>
      <c r="N736" s="624"/>
    </row>
    <row r="737" spans="2:73" ht="12" x14ac:dyDescent="0.4">
      <c r="C737" s="616"/>
      <c r="D737" s="611"/>
      <c r="E737" s="398"/>
      <c r="F737" s="395"/>
      <c r="G737" s="395"/>
      <c r="H737" s="1065" t="str">
        <f t="shared" si="40"/>
        <v>↑</v>
      </c>
      <c r="I737" s="395"/>
      <c r="J737" s="395"/>
      <c r="K737" s="395"/>
      <c r="L737" s="402"/>
      <c r="M737" s="609"/>
      <c r="N737" s="624"/>
    </row>
    <row r="738" spans="2:73" ht="12" x14ac:dyDescent="0.4">
      <c r="C738" s="616"/>
      <c r="D738" s="611"/>
      <c r="E738" s="398"/>
      <c r="F738" s="395"/>
      <c r="G738" s="395"/>
      <c r="H738" s="1065" t="str">
        <f t="shared" si="40"/>
        <v>↑</v>
      </c>
      <c r="I738" s="395"/>
      <c r="J738" s="395"/>
      <c r="K738" s="395"/>
      <c r="L738" s="402"/>
      <c r="M738" s="609"/>
      <c r="N738" s="624"/>
    </row>
    <row r="739" spans="2:73" ht="12" x14ac:dyDescent="0.4">
      <c r="C739" s="616"/>
      <c r="D739" s="611"/>
      <c r="E739" s="398"/>
      <c r="F739" s="395"/>
      <c r="G739" s="395"/>
      <c r="H739" s="1065" t="str">
        <f t="shared" si="40"/>
        <v>↑</v>
      </c>
      <c r="I739" s="395"/>
      <c r="J739" s="395"/>
      <c r="K739" s="395"/>
      <c r="L739" s="402"/>
      <c r="M739" s="609"/>
      <c r="N739" s="624"/>
    </row>
    <row r="740" spans="2:73" ht="12" x14ac:dyDescent="0.4">
      <c r="B740" s="125">
        <v>10</v>
      </c>
      <c r="C740" s="616"/>
      <c r="D740" s="611"/>
      <c r="E740" s="398"/>
      <c r="F740" s="395"/>
      <c r="G740" s="395"/>
      <c r="H740" s="1065" t="str">
        <f t="shared" si="40"/>
        <v>↑</v>
      </c>
      <c r="I740" s="395"/>
      <c r="J740" s="395"/>
      <c r="K740" s="395"/>
      <c r="L740" s="402"/>
      <c r="M740" s="609"/>
      <c r="N740" s="624"/>
    </row>
    <row r="741" spans="2:73" ht="12" x14ac:dyDescent="0.4">
      <c r="C741" s="616"/>
      <c r="D741" s="611"/>
      <c r="E741" s="398"/>
      <c r="F741" s="395"/>
      <c r="G741" s="395"/>
      <c r="H741" s="1065" t="str">
        <f t="shared" si="40"/>
        <v>↑</v>
      </c>
      <c r="I741" s="395"/>
      <c r="J741" s="395"/>
      <c r="K741" s="395"/>
      <c r="L741" s="402"/>
      <c r="M741" s="609"/>
      <c r="N741" s="624"/>
    </row>
    <row r="742" spans="2:73" ht="12" x14ac:dyDescent="0.4">
      <c r="C742" s="616"/>
      <c r="D742" s="611"/>
      <c r="E742" s="398"/>
      <c r="F742" s="395"/>
      <c r="G742" s="395"/>
      <c r="H742" s="1065" t="str">
        <f t="shared" si="40"/>
        <v>↑</v>
      </c>
      <c r="I742" s="395"/>
      <c r="J742" s="395"/>
      <c r="K742" s="395"/>
      <c r="L742" s="402"/>
      <c r="M742" s="609"/>
      <c r="N742" s="624"/>
    </row>
    <row r="743" spans="2:73" ht="12" x14ac:dyDescent="0.4">
      <c r="C743" s="616"/>
      <c r="D743" s="611"/>
      <c r="E743" s="399"/>
      <c r="F743" s="400"/>
      <c r="G743" s="400"/>
      <c r="H743" s="1064" t="str">
        <f t="shared" si="40"/>
        <v>↑</v>
      </c>
      <c r="I743" s="400"/>
      <c r="J743" s="400"/>
      <c r="K743" s="400"/>
      <c r="L743" s="403"/>
      <c r="M743" s="609"/>
      <c r="N743" s="624"/>
    </row>
    <row r="744" spans="2:73" ht="12" x14ac:dyDescent="0.4">
      <c r="C744" s="616"/>
      <c r="D744" s="610"/>
      <c r="E744" s="607"/>
      <c r="F744" s="607"/>
      <c r="G744" s="607"/>
      <c r="H744" s="1055" t="str">
        <f t="shared" si="40"/>
        <v>↑</v>
      </c>
      <c r="I744" s="607"/>
      <c r="J744" s="607"/>
      <c r="K744" s="607"/>
      <c r="L744" s="607"/>
      <c r="M744" s="610"/>
      <c r="N744" s="624"/>
    </row>
    <row r="745" spans="2:73" ht="11.25" thickBot="1" x14ac:dyDescent="0.45">
      <c r="B745" s="125">
        <v>15</v>
      </c>
      <c r="C745" s="620"/>
      <c r="D745" s="621"/>
      <c r="E745" s="621"/>
      <c r="F745" s="621"/>
      <c r="G745" s="621"/>
      <c r="H745" s="643" t="s">
        <v>508</v>
      </c>
      <c r="I745" s="621"/>
      <c r="J745" s="621"/>
      <c r="K745" s="621"/>
      <c r="L745" s="621"/>
      <c r="M745" s="621"/>
      <c r="N745" s="625"/>
    </row>
    <row r="749" spans="2:73" ht="15.75" x14ac:dyDescent="0.4">
      <c r="B749" s="122" t="s">
        <v>1061</v>
      </c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  <c r="AO749" s="121"/>
      <c r="AP749" s="121"/>
      <c r="AQ749" s="121"/>
      <c r="AR749" s="121"/>
      <c r="AS749" s="121"/>
      <c r="AT749" s="121"/>
      <c r="AU749" s="121"/>
      <c r="AV749" s="121"/>
      <c r="AW749" s="121"/>
      <c r="AX749" s="121"/>
      <c r="AY749" s="121"/>
      <c r="AZ749" s="121"/>
      <c r="BA749" s="121"/>
      <c r="BB749" s="121"/>
      <c r="BC749" s="121"/>
      <c r="BD749" s="121"/>
      <c r="BE749" s="121"/>
      <c r="BF749" s="121"/>
      <c r="BG749" s="121"/>
      <c r="BH749" s="121"/>
      <c r="BI749" s="121"/>
      <c r="BJ749" s="123" t="s">
        <v>1062</v>
      </c>
      <c r="BK749" s="121"/>
      <c r="BL749" s="121"/>
      <c r="BM749" s="121"/>
      <c r="BN749" s="121"/>
      <c r="BO749" s="121"/>
      <c r="BP749" s="121"/>
      <c r="BQ749" s="121"/>
      <c r="BR749" s="121"/>
      <c r="BS749" s="121"/>
      <c r="BT749" s="121"/>
      <c r="BU749" s="121"/>
    </row>
    <row r="750" spans="2:73" ht="12" x14ac:dyDescent="0.4">
      <c r="B750" s="124" t="s">
        <v>1063</v>
      </c>
    </row>
    <row r="751" spans="2:73" ht="12.75" thickBot="1" x14ac:dyDescent="0.45">
      <c r="C751" s="125">
        <v>0</v>
      </c>
      <c r="H751" s="125">
        <v>5</v>
      </c>
      <c r="M751" s="125">
        <v>10</v>
      </c>
      <c r="BR751" s="272" t="s">
        <v>310</v>
      </c>
      <c r="BS751" s="272" t="s">
        <v>529</v>
      </c>
      <c r="BT751" s="272" t="s">
        <v>530</v>
      </c>
      <c r="BU751" s="272" t="s">
        <v>531</v>
      </c>
    </row>
    <row r="752" spans="2:73" ht="12" x14ac:dyDescent="0.4">
      <c r="B752" s="125">
        <v>0</v>
      </c>
      <c r="C752" s="180" t="s">
        <v>440</v>
      </c>
      <c r="D752" s="171"/>
      <c r="E752" s="171"/>
      <c r="F752" s="177"/>
      <c r="G752" s="664"/>
      <c r="H752" s="656"/>
      <c r="I752" s="656"/>
      <c r="J752" s="656"/>
      <c r="K752" s="656"/>
      <c r="L752" s="657"/>
      <c r="M752" s="180" t="s">
        <v>440</v>
      </c>
      <c r="N752" s="171"/>
      <c r="O752" s="171"/>
      <c r="P752" s="177"/>
      <c r="BR752" s="1019" t="s">
        <v>440</v>
      </c>
      <c r="BS752" s="1019" t="s">
        <v>440</v>
      </c>
      <c r="BT752" s="1019" t="s">
        <v>1064</v>
      </c>
      <c r="BU752" s="1019" t="s">
        <v>753</v>
      </c>
    </row>
    <row r="753" spans="2:73" ht="12" x14ac:dyDescent="0.4">
      <c r="C753" s="175"/>
      <c r="D753" s="170"/>
      <c r="E753" s="170"/>
      <c r="F753" s="178"/>
      <c r="G753" s="648"/>
      <c r="H753" s="565"/>
      <c r="I753" s="1058" t="str">
        <f>IF($AB$3="ON","↑","")</f>
        <v>↑</v>
      </c>
      <c r="J753" s="565"/>
      <c r="K753" s="565"/>
      <c r="L753" s="574"/>
      <c r="M753" s="175"/>
      <c r="N753" s="170"/>
      <c r="O753" s="170"/>
      <c r="P753" s="178"/>
      <c r="BR753" s="1019" t="s">
        <v>440</v>
      </c>
      <c r="BS753" s="1019" t="s">
        <v>440</v>
      </c>
      <c r="BT753" s="1019" t="s">
        <v>1034</v>
      </c>
      <c r="BU753" s="1019" t="s">
        <v>708</v>
      </c>
    </row>
    <row r="754" spans="2:73" ht="12" x14ac:dyDescent="0.4">
      <c r="C754" s="175"/>
      <c r="D754" s="170"/>
      <c r="E754" s="170"/>
      <c r="F754" s="178"/>
      <c r="G754" s="648"/>
      <c r="H754" s="414" t="s">
        <v>770</v>
      </c>
      <c r="I754" s="565"/>
      <c r="J754" s="565"/>
      <c r="K754" s="565"/>
      <c r="L754" s="574"/>
      <c r="M754" s="175"/>
      <c r="N754" s="170"/>
      <c r="O754" s="170"/>
      <c r="P754" s="178"/>
      <c r="BR754" s="1019" t="s">
        <v>440</v>
      </c>
      <c r="BS754" s="1019" t="s">
        <v>440</v>
      </c>
      <c r="BT754" s="1019" t="s">
        <v>923</v>
      </c>
      <c r="BU754" s="1019" t="s">
        <v>607</v>
      </c>
    </row>
    <row r="755" spans="2:73" ht="12" x14ac:dyDescent="0.4">
      <c r="C755" s="175"/>
      <c r="D755" s="170"/>
      <c r="E755" s="170"/>
      <c r="F755" s="178"/>
      <c r="G755" s="648"/>
      <c r="H755" s="565"/>
      <c r="I755" s="1058" t="str">
        <f t="shared" ref="I755:I771" si="41">IF($AB$3="ON","↑","")</f>
        <v>↑</v>
      </c>
      <c r="J755" s="565"/>
      <c r="K755" s="565"/>
      <c r="L755" s="574"/>
      <c r="M755" s="175"/>
      <c r="N755" s="170"/>
      <c r="O755" s="170"/>
      <c r="P755" s="178"/>
      <c r="BR755" s="1019" t="s">
        <v>440</v>
      </c>
      <c r="BS755" s="1019" t="s">
        <v>440</v>
      </c>
      <c r="BT755" s="1019" t="s">
        <v>1065</v>
      </c>
      <c r="BU755" s="1019" t="s">
        <v>895</v>
      </c>
    </row>
    <row r="756" spans="2:73" ht="12" x14ac:dyDescent="0.4">
      <c r="C756" s="175"/>
      <c r="D756" s="170"/>
      <c r="E756" s="170"/>
      <c r="F756" s="178"/>
      <c r="G756" s="648"/>
      <c r="H756" s="565"/>
      <c r="I756" s="1058" t="str">
        <f t="shared" si="41"/>
        <v>↑</v>
      </c>
      <c r="J756" s="565"/>
      <c r="K756" s="565"/>
      <c r="L756" s="574"/>
      <c r="M756" s="175"/>
      <c r="N756" s="170"/>
      <c r="O756" s="170"/>
      <c r="P756" s="178"/>
      <c r="BR756" s="1019" t="s">
        <v>96</v>
      </c>
      <c r="BS756" s="1019" t="s">
        <v>96</v>
      </c>
      <c r="BT756" s="1019" t="s">
        <v>539</v>
      </c>
      <c r="BU756" s="1019" t="s">
        <v>1066</v>
      </c>
    </row>
    <row r="757" spans="2:73" ht="12" x14ac:dyDescent="0.4">
      <c r="B757" s="125">
        <v>5</v>
      </c>
      <c r="C757" s="175"/>
      <c r="D757" s="170"/>
      <c r="E757" s="170"/>
      <c r="F757" s="178"/>
      <c r="G757" s="648"/>
      <c r="H757" s="565"/>
      <c r="I757" s="1058" t="str">
        <f t="shared" si="41"/>
        <v>↑</v>
      </c>
      <c r="J757" s="565"/>
      <c r="K757" s="565"/>
      <c r="L757" s="574"/>
      <c r="M757" s="175"/>
      <c r="N757" s="170"/>
      <c r="O757" s="170"/>
      <c r="P757" s="178"/>
      <c r="BR757" s="1019" t="s">
        <v>96</v>
      </c>
      <c r="BS757" s="1019" t="s">
        <v>96</v>
      </c>
      <c r="BT757" s="1019" t="s">
        <v>539</v>
      </c>
      <c r="BU757" s="1019" t="s">
        <v>1067</v>
      </c>
    </row>
    <row r="758" spans="2:73" ht="12" x14ac:dyDescent="0.4">
      <c r="C758" s="175"/>
      <c r="D758" s="170"/>
      <c r="E758" s="170"/>
      <c r="F758" s="178"/>
      <c r="G758" s="648"/>
      <c r="H758" s="565"/>
      <c r="I758" s="1058" t="str">
        <f t="shared" si="41"/>
        <v>↑</v>
      </c>
      <c r="J758" s="565"/>
      <c r="K758" s="565"/>
      <c r="L758" s="574"/>
      <c r="M758" s="175"/>
      <c r="N758" s="170"/>
      <c r="O758" s="170"/>
      <c r="P758" s="178"/>
      <c r="BR758" s="1019" t="s">
        <v>508</v>
      </c>
      <c r="BS758" s="1019" t="s">
        <v>486</v>
      </c>
      <c r="BT758" s="1019" t="s">
        <v>539</v>
      </c>
      <c r="BU758" s="1019" t="s">
        <v>1068</v>
      </c>
    </row>
    <row r="759" spans="2:73" ht="12" x14ac:dyDescent="0.4">
      <c r="C759" s="175"/>
      <c r="D759" s="170"/>
      <c r="E759" s="170"/>
      <c r="F759" s="178"/>
      <c r="G759" s="648"/>
      <c r="H759" s="565"/>
      <c r="I759" s="1058" t="str">
        <f t="shared" si="41"/>
        <v>↑</v>
      </c>
      <c r="J759" s="565"/>
      <c r="K759" s="565"/>
      <c r="L759" s="574"/>
      <c r="M759" s="176"/>
      <c r="N759" s="172"/>
      <c r="O759" s="172"/>
      <c r="P759" s="179"/>
    </row>
    <row r="760" spans="2:73" ht="12" x14ac:dyDescent="0.4">
      <c r="C760" s="175"/>
      <c r="D760" s="170"/>
      <c r="E760" s="170"/>
      <c r="F760" s="178"/>
      <c r="G760" s="648"/>
      <c r="H760" s="565"/>
      <c r="I760" s="1058" t="str">
        <f t="shared" si="41"/>
        <v>↑</v>
      </c>
      <c r="J760" s="565"/>
      <c r="K760" s="565"/>
      <c r="L760" s="565"/>
      <c r="M760" s="646"/>
      <c r="N760" s="646"/>
      <c r="O760" s="646"/>
      <c r="P760" s="699"/>
    </row>
    <row r="761" spans="2:73" ht="12" x14ac:dyDescent="0.4">
      <c r="C761" s="175"/>
      <c r="D761" s="170"/>
      <c r="E761" s="170"/>
      <c r="F761" s="178"/>
      <c r="G761" s="648"/>
      <c r="H761" s="565"/>
      <c r="I761" s="1058" t="str">
        <f t="shared" si="41"/>
        <v>↑</v>
      </c>
      <c r="J761" s="565"/>
      <c r="K761" s="565"/>
      <c r="L761" s="565"/>
      <c r="M761" s="650"/>
      <c r="N761" s="650"/>
      <c r="O761" s="650"/>
      <c r="P761" s="698"/>
    </row>
    <row r="762" spans="2:73" ht="12" x14ac:dyDescent="0.4">
      <c r="B762" s="125">
        <v>10</v>
      </c>
      <c r="C762" s="175"/>
      <c r="D762" s="170"/>
      <c r="E762" s="170"/>
      <c r="F762" s="178"/>
      <c r="G762" s="648"/>
      <c r="H762" s="565"/>
      <c r="I762" s="1058" t="str">
        <f t="shared" si="41"/>
        <v>↑</v>
      </c>
      <c r="J762" s="565"/>
      <c r="K762" s="565"/>
      <c r="L762" s="574"/>
      <c r="M762" s="180" t="s">
        <v>440</v>
      </c>
      <c r="N762" s="171"/>
      <c r="O762" s="171"/>
      <c r="P762" s="177"/>
    </row>
    <row r="763" spans="2:73" ht="12" x14ac:dyDescent="0.4">
      <c r="C763" s="176"/>
      <c r="D763" s="172"/>
      <c r="E763" s="172"/>
      <c r="F763" s="179"/>
      <c r="G763" s="648"/>
      <c r="H763" s="565"/>
      <c r="I763" s="1058" t="str">
        <f t="shared" si="41"/>
        <v>↑</v>
      </c>
      <c r="J763" s="565"/>
      <c r="K763" s="565"/>
      <c r="L763" s="574"/>
      <c r="M763" s="175"/>
      <c r="N763" s="170"/>
      <c r="O763" s="170"/>
      <c r="P763" s="178"/>
    </row>
    <row r="764" spans="2:73" ht="12" x14ac:dyDescent="0.4">
      <c r="C764" s="652"/>
      <c r="D764" s="646"/>
      <c r="E764" s="646"/>
      <c r="F764" s="646"/>
      <c r="G764" s="565"/>
      <c r="H764" s="565"/>
      <c r="I764" s="1058" t="str">
        <f t="shared" si="41"/>
        <v>↑</v>
      </c>
      <c r="J764" s="565"/>
      <c r="K764" s="565"/>
      <c r="L764" s="574"/>
      <c r="M764" s="175"/>
      <c r="N764" s="170"/>
      <c r="O764" s="170"/>
      <c r="P764" s="178"/>
    </row>
    <row r="765" spans="2:73" ht="12" x14ac:dyDescent="0.4">
      <c r="C765" s="654"/>
      <c r="D765" s="650"/>
      <c r="E765" s="650"/>
      <c r="F765" s="650"/>
      <c r="G765" s="565"/>
      <c r="H765" s="565"/>
      <c r="I765" s="1058" t="str">
        <f t="shared" si="41"/>
        <v>↑</v>
      </c>
      <c r="J765" s="565"/>
      <c r="K765" s="565"/>
      <c r="L765" s="574"/>
      <c r="M765" s="175"/>
      <c r="N765" s="170"/>
      <c r="O765" s="170"/>
      <c r="P765" s="178"/>
    </row>
    <row r="766" spans="2:73" ht="12" x14ac:dyDescent="0.4">
      <c r="C766" s="180" t="s">
        <v>440</v>
      </c>
      <c r="D766" s="171"/>
      <c r="E766" s="171"/>
      <c r="F766" s="177"/>
      <c r="G766" s="648"/>
      <c r="H766" s="565"/>
      <c r="I766" s="1058" t="str">
        <f t="shared" si="41"/>
        <v>↑</v>
      </c>
      <c r="J766" s="565"/>
      <c r="K766" s="565"/>
      <c r="L766" s="574"/>
      <c r="M766" s="175"/>
      <c r="N766" s="170"/>
      <c r="O766" s="170"/>
      <c r="P766" s="178"/>
    </row>
    <row r="767" spans="2:73" ht="12" x14ac:dyDescent="0.4">
      <c r="B767" s="125">
        <v>15</v>
      </c>
      <c r="C767" s="175"/>
      <c r="D767" s="170"/>
      <c r="E767" s="170"/>
      <c r="F767" s="178"/>
      <c r="G767" s="648"/>
      <c r="H767" s="565"/>
      <c r="I767" s="1058" t="str">
        <f t="shared" si="41"/>
        <v>↑</v>
      </c>
      <c r="J767" s="565"/>
      <c r="K767" s="565"/>
      <c r="L767" s="574"/>
      <c r="M767" s="175"/>
      <c r="N767" s="170"/>
      <c r="O767" s="170"/>
      <c r="P767" s="178"/>
    </row>
    <row r="768" spans="2:73" ht="12" x14ac:dyDescent="0.4">
      <c r="C768" s="175"/>
      <c r="D768" s="170"/>
      <c r="E768" s="170"/>
      <c r="F768" s="178"/>
      <c r="G768" s="648"/>
      <c r="H768" s="565"/>
      <c r="I768" s="1058" t="str">
        <f t="shared" si="41"/>
        <v>↑</v>
      </c>
      <c r="J768" s="565"/>
      <c r="K768" s="565"/>
      <c r="L768" s="574"/>
      <c r="M768" s="175"/>
      <c r="N768" s="170"/>
      <c r="O768" s="170"/>
      <c r="P768" s="178"/>
    </row>
    <row r="769" spans="2:16" ht="12" x14ac:dyDescent="0.4">
      <c r="C769" s="175"/>
      <c r="D769" s="170"/>
      <c r="E769" s="170"/>
      <c r="F769" s="178"/>
      <c r="G769" s="648"/>
      <c r="H769" s="565"/>
      <c r="I769" s="1058" t="str">
        <f t="shared" si="41"/>
        <v>↑</v>
      </c>
      <c r="J769" s="565"/>
      <c r="K769" s="565"/>
      <c r="L769" s="574"/>
      <c r="M769" s="175"/>
      <c r="N769" s="170"/>
      <c r="O769" s="170"/>
      <c r="P769" s="178"/>
    </row>
    <row r="770" spans="2:16" ht="12" x14ac:dyDescent="0.4">
      <c r="C770" s="175"/>
      <c r="D770" s="170"/>
      <c r="E770" s="170"/>
      <c r="F770" s="178"/>
      <c r="G770" s="648"/>
      <c r="H770" s="565"/>
      <c r="I770" s="1058" t="str">
        <f t="shared" si="41"/>
        <v>↑</v>
      </c>
      <c r="J770" s="565"/>
      <c r="K770" s="565"/>
      <c r="L770" s="574"/>
      <c r="M770" s="175"/>
      <c r="N770" s="170"/>
      <c r="O770" s="170"/>
      <c r="P770" s="178"/>
    </row>
    <row r="771" spans="2:16" ht="12" x14ac:dyDescent="0.4">
      <c r="C771" s="175"/>
      <c r="D771" s="170"/>
      <c r="E771" s="170"/>
      <c r="F771" s="178"/>
      <c r="G771" s="648"/>
      <c r="H771" s="565"/>
      <c r="I771" s="1058" t="str">
        <f t="shared" si="41"/>
        <v>↑</v>
      </c>
      <c r="J771" s="565"/>
      <c r="K771" s="565"/>
      <c r="L771" s="574"/>
      <c r="M771" s="175"/>
      <c r="N771" s="170"/>
      <c r="O771" s="170"/>
      <c r="P771" s="178"/>
    </row>
    <row r="772" spans="2:16" x14ac:dyDescent="0.4">
      <c r="B772" s="125">
        <v>20</v>
      </c>
      <c r="C772" s="175"/>
      <c r="D772" s="170"/>
      <c r="E772" s="170"/>
      <c r="F772" s="178"/>
      <c r="G772" s="648"/>
      <c r="H772" s="565"/>
      <c r="I772" s="195" t="s">
        <v>96</v>
      </c>
      <c r="J772" s="565"/>
      <c r="K772" s="565"/>
      <c r="L772" s="574"/>
      <c r="M772" s="175"/>
      <c r="N772" s="170"/>
      <c r="O772" s="170"/>
      <c r="P772" s="178"/>
    </row>
    <row r="773" spans="2:16" ht="12" x14ac:dyDescent="0.4">
      <c r="C773" s="175"/>
      <c r="D773" s="170"/>
      <c r="E773" s="170"/>
      <c r="F773" s="178"/>
      <c r="G773" s="648"/>
      <c r="H773" s="565"/>
      <c r="I773" s="1058" t="str">
        <f t="shared" ref="I773:I784" si="42">IF($AB$3="ON","↑","")</f>
        <v>↑</v>
      </c>
      <c r="J773" s="565"/>
      <c r="K773" s="565"/>
      <c r="L773" s="574"/>
      <c r="M773" s="175"/>
      <c r="N773" s="170"/>
      <c r="O773" s="170"/>
      <c r="P773" s="178"/>
    </row>
    <row r="774" spans="2:16" ht="12" x14ac:dyDescent="0.4">
      <c r="C774" s="175"/>
      <c r="D774" s="170"/>
      <c r="E774" s="170"/>
      <c r="F774" s="178"/>
      <c r="G774" s="648"/>
      <c r="H774" s="565"/>
      <c r="I774" s="1058" t="str">
        <f t="shared" si="42"/>
        <v>↑</v>
      </c>
      <c r="J774" s="565"/>
      <c r="K774" s="565"/>
      <c r="L774" s="574"/>
      <c r="M774" s="175"/>
      <c r="N774" s="170"/>
      <c r="O774" s="170"/>
      <c r="P774" s="178"/>
    </row>
    <row r="775" spans="2:16" ht="12" x14ac:dyDescent="0.4">
      <c r="C775" s="176"/>
      <c r="D775" s="172"/>
      <c r="E775" s="172"/>
      <c r="F775" s="179"/>
      <c r="G775" s="648"/>
      <c r="H775" s="565"/>
      <c r="I775" s="1058" t="str">
        <f t="shared" si="42"/>
        <v>↑</v>
      </c>
      <c r="J775" s="565"/>
      <c r="K775" s="565"/>
      <c r="L775" s="574"/>
      <c r="M775" s="176"/>
      <c r="N775" s="172"/>
      <c r="O775" s="172"/>
      <c r="P775" s="179"/>
    </row>
    <row r="776" spans="2:16" ht="12" x14ac:dyDescent="0.4">
      <c r="C776" s="652"/>
      <c r="D776" s="646"/>
      <c r="E776" s="646"/>
      <c r="F776" s="646"/>
      <c r="G776" s="565"/>
      <c r="H776" s="565"/>
      <c r="I776" s="1058" t="str">
        <f t="shared" si="42"/>
        <v>↑</v>
      </c>
      <c r="J776" s="565"/>
      <c r="K776" s="565"/>
      <c r="L776" s="565"/>
      <c r="M776" s="646"/>
      <c r="N776" s="646"/>
      <c r="O776" s="646"/>
      <c r="P776" s="699"/>
    </row>
    <row r="777" spans="2:16" ht="12" x14ac:dyDescent="0.4">
      <c r="B777" s="125">
        <v>25</v>
      </c>
      <c r="C777" s="653"/>
      <c r="D777" s="565"/>
      <c r="E777" s="565"/>
      <c r="F777" s="565"/>
      <c r="G777" s="565"/>
      <c r="H777" s="565"/>
      <c r="I777" s="1058" t="str">
        <f t="shared" si="42"/>
        <v>↑</v>
      </c>
      <c r="J777" s="565"/>
      <c r="K777" s="565"/>
      <c r="L777" s="565"/>
      <c r="M777" s="565"/>
      <c r="N777" s="565"/>
      <c r="O777" s="565"/>
      <c r="P777" s="661"/>
    </row>
    <row r="778" spans="2:16" ht="12" x14ac:dyDescent="0.4">
      <c r="C778" s="653"/>
      <c r="D778" s="565"/>
      <c r="E778" s="565"/>
      <c r="F778" s="565"/>
      <c r="G778" s="565"/>
      <c r="H778" s="565"/>
      <c r="I778" s="1058" t="str">
        <f t="shared" si="42"/>
        <v>↑</v>
      </c>
      <c r="J778" s="195" t="s">
        <v>96</v>
      </c>
      <c r="K778" s="565"/>
      <c r="L778" s="565"/>
      <c r="M778" s="565"/>
      <c r="N778" s="565"/>
      <c r="O778" s="565"/>
      <c r="P778" s="661"/>
    </row>
    <row r="779" spans="2:16" ht="12" x14ac:dyDescent="0.4">
      <c r="C779" s="653"/>
      <c r="D779" s="565"/>
      <c r="E779" s="565"/>
      <c r="F779" s="565"/>
      <c r="G779" s="565"/>
      <c r="H779" s="565"/>
      <c r="I779" s="1058" t="str">
        <f t="shared" si="42"/>
        <v>↑</v>
      </c>
      <c r="J779" s="565"/>
      <c r="K779" s="565"/>
      <c r="L779" s="565"/>
      <c r="M779" s="565"/>
      <c r="N779" s="565"/>
      <c r="O779" s="565"/>
      <c r="P779" s="661"/>
    </row>
    <row r="780" spans="2:16" ht="12" x14ac:dyDescent="0.4">
      <c r="C780" s="653"/>
      <c r="D780" s="565"/>
      <c r="E780" s="565"/>
      <c r="F780" s="565"/>
      <c r="G780" s="565"/>
      <c r="H780" s="565"/>
      <c r="I780" s="1058" t="str">
        <f t="shared" si="42"/>
        <v>↑</v>
      </c>
      <c r="J780" s="565"/>
      <c r="K780" s="565"/>
      <c r="L780" s="565"/>
      <c r="M780" s="565"/>
      <c r="N780" s="565"/>
      <c r="O780" s="565"/>
      <c r="P780" s="661"/>
    </row>
    <row r="781" spans="2:16" ht="12" x14ac:dyDescent="0.4">
      <c r="C781" s="653"/>
      <c r="D781" s="565"/>
      <c r="E781" s="565"/>
      <c r="F781" s="565"/>
      <c r="G781" s="565"/>
      <c r="H781" s="565"/>
      <c r="I781" s="1058" t="str">
        <f t="shared" si="42"/>
        <v>↑</v>
      </c>
      <c r="J781" s="565"/>
      <c r="K781" s="565"/>
      <c r="L781" s="565"/>
      <c r="M781" s="565"/>
      <c r="N781" s="565"/>
      <c r="O781" s="565"/>
      <c r="P781" s="661"/>
    </row>
    <row r="782" spans="2:16" ht="12" x14ac:dyDescent="0.4">
      <c r="B782" s="125">
        <v>30</v>
      </c>
      <c r="C782" s="653"/>
      <c r="D782" s="565"/>
      <c r="E782" s="565"/>
      <c r="F782" s="565"/>
      <c r="G782" s="565"/>
      <c r="H782" s="565"/>
      <c r="I782" s="1058" t="str">
        <f t="shared" si="42"/>
        <v>↑</v>
      </c>
      <c r="J782" s="565"/>
      <c r="K782" s="565"/>
      <c r="L782" s="565"/>
      <c r="M782" s="565"/>
      <c r="N782" s="565"/>
      <c r="O782" s="565"/>
      <c r="P782" s="661"/>
    </row>
    <row r="783" spans="2:16" ht="12" x14ac:dyDescent="0.4">
      <c r="C783" s="653"/>
      <c r="D783" s="565"/>
      <c r="E783" s="565"/>
      <c r="F783" s="565"/>
      <c r="G783" s="565"/>
      <c r="H783" s="565"/>
      <c r="I783" s="1058" t="str">
        <f t="shared" si="42"/>
        <v>↑</v>
      </c>
      <c r="J783" s="565"/>
      <c r="K783" s="565"/>
      <c r="L783" s="565"/>
      <c r="M783" s="565"/>
      <c r="N783" s="565"/>
      <c r="O783" s="565"/>
      <c r="P783" s="661"/>
    </row>
    <row r="784" spans="2:16" ht="12" x14ac:dyDescent="0.4">
      <c r="C784" s="653"/>
      <c r="D784" s="565"/>
      <c r="E784" s="565"/>
      <c r="F784" s="565"/>
      <c r="G784" s="565"/>
      <c r="H784" s="565"/>
      <c r="I784" s="1058" t="str">
        <f t="shared" si="42"/>
        <v>↑</v>
      </c>
      <c r="J784" s="565"/>
      <c r="K784" s="565"/>
      <c r="L784" s="565"/>
      <c r="M784" s="565"/>
      <c r="N784" s="565"/>
      <c r="O784" s="565"/>
      <c r="P784" s="661"/>
    </row>
    <row r="785" spans="2:73" ht="11.25" thickBot="1" x14ac:dyDescent="0.45">
      <c r="C785" s="658"/>
      <c r="D785" s="659"/>
      <c r="E785" s="659"/>
      <c r="F785" s="659"/>
      <c r="G785" s="659"/>
      <c r="H785" s="659"/>
      <c r="I785" s="643" t="s">
        <v>508</v>
      </c>
      <c r="J785" s="659"/>
      <c r="K785" s="659"/>
      <c r="L785" s="659"/>
      <c r="M785" s="659"/>
      <c r="N785" s="659"/>
      <c r="O785" s="659"/>
      <c r="P785" s="662"/>
    </row>
    <row r="789" spans="2:73" ht="15.75" x14ac:dyDescent="0.4">
      <c r="B789" s="122" t="s">
        <v>1069</v>
      </c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  <c r="AL789" s="121"/>
      <c r="AM789" s="121"/>
      <c r="AN789" s="121"/>
      <c r="AO789" s="121"/>
      <c r="AP789" s="121"/>
      <c r="AQ789" s="121"/>
      <c r="AR789" s="121"/>
      <c r="AS789" s="121"/>
      <c r="AT789" s="121"/>
      <c r="AU789" s="121"/>
      <c r="AV789" s="121"/>
      <c r="AW789" s="121"/>
      <c r="AX789" s="121"/>
      <c r="AY789" s="121"/>
      <c r="AZ789" s="121"/>
      <c r="BA789" s="121"/>
      <c r="BB789" s="121"/>
      <c r="BC789" s="121"/>
      <c r="BD789" s="121"/>
      <c r="BE789" s="121"/>
      <c r="BF789" s="121"/>
      <c r="BG789" s="121"/>
      <c r="BH789" s="121"/>
      <c r="BI789" s="121"/>
      <c r="BJ789" s="123" t="s">
        <v>1070</v>
      </c>
      <c r="BK789" s="121"/>
      <c r="BL789" s="121"/>
      <c r="BM789" s="121"/>
      <c r="BN789" s="121"/>
      <c r="BO789" s="121"/>
      <c r="BP789" s="121"/>
      <c r="BQ789" s="121"/>
      <c r="BR789" s="121"/>
      <c r="BS789" s="121"/>
      <c r="BT789" s="121"/>
      <c r="BU789" s="121"/>
    </row>
    <row r="790" spans="2:73" ht="12" x14ac:dyDescent="0.4">
      <c r="B790" s="124" t="s">
        <v>1071</v>
      </c>
    </row>
    <row r="791" spans="2:73" ht="12" x14ac:dyDescent="0.4">
      <c r="C791" s="125">
        <v>0</v>
      </c>
      <c r="H791" s="125">
        <v>5</v>
      </c>
      <c r="M791" s="125">
        <v>10</v>
      </c>
      <c r="R791" s="125">
        <v>15</v>
      </c>
      <c r="BR791" s="272" t="s">
        <v>310</v>
      </c>
      <c r="BS791" s="272" t="s">
        <v>529</v>
      </c>
      <c r="BT791" s="272" t="s">
        <v>530</v>
      </c>
      <c r="BU791" s="272" t="s">
        <v>531</v>
      </c>
    </row>
    <row r="792" spans="2:73" ht="12" x14ac:dyDescent="0.4">
      <c r="B792" s="125">
        <v>0</v>
      </c>
      <c r="C792" s="963" t="s">
        <v>1072</v>
      </c>
      <c r="D792" s="961"/>
      <c r="E792" s="961"/>
      <c r="F792" s="961"/>
      <c r="G792" s="961"/>
      <c r="H792" s="961"/>
      <c r="I792" s="965"/>
      <c r="J792" s="965"/>
      <c r="K792" s="965"/>
      <c r="L792" s="961"/>
      <c r="M792" s="961"/>
      <c r="N792" s="961"/>
      <c r="O792" s="961"/>
      <c r="P792" s="961"/>
      <c r="Q792" s="961"/>
      <c r="R792" s="962"/>
      <c r="BR792" s="1019" t="s">
        <v>1072</v>
      </c>
      <c r="BS792" s="1019" t="s">
        <v>423</v>
      </c>
      <c r="BT792" s="1019" t="s">
        <v>606</v>
      </c>
      <c r="BU792" s="1019" t="s">
        <v>753</v>
      </c>
    </row>
    <row r="793" spans="2:73" ht="12" x14ac:dyDescent="0.4">
      <c r="C793" s="460"/>
      <c r="D793" s="725"/>
      <c r="E793" s="725"/>
      <c r="F793" s="725"/>
      <c r="G793" s="452"/>
      <c r="H793" s="453"/>
      <c r="I793" s="631" t="s">
        <v>1074</v>
      </c>
      <c r="J793" s="629"/>
      <c r="K793" s="630"/>
      <c r="L793" s="451"/>
      <c r="M793" s="452"/>
      <c r="N793" s="452"/>
      <c r="O793" s="452"/>
      <c r="P793" s="452"/>
      <c r="Q793" s="452"/>
      <c r="R793" s="702"/>
      <c r="BR793" s="1019" t="s">
        <v>1073</v>
      </c>
      <c r="BS793" s="1019" t="s">
        <v>441</v>
      </c>
      <c r="BT793" s="1019" t="s">
        <v>565</v>
      </c>
      <c r="BU793" s="1019" t="s">
        <v>943</v>
      </c>
    </row>
    <row r="794" spans="2:73" ht="12" x14ac:dyDescent="0.4">
      <c r="C794" s="964"/>
      <c r="D794" s="696" t="s">
        <v>1073</v>
      </c>
      <c r="E794" s="690"/>
      <c r="F794" s="693"/>
      <c r="G794" s="454"/>
      <c r="H794" s="455"/>
      <c r="I794" s="452"/>
      <c r="J794" s="452"/>
      <c r="K794" s="452"/>
      <c r="L794" s="455"/>
      <c r="M794" s="455"/>
      <c r="N794" s="455"/>
      <c r="O794" s="584" t="s">
        <v>733</v>
      </c>
      <c r="P794" s="455"/>
      <c r="Q794" s="455"/>
      <c r="R794" s="469"/>
      <c r="BR794" s="1019" t="s">
        <v>1074</v>
      </c>
      <c r="BS794" s="1019" t="s">
        <v>493</v>
      </c>
      <c r="BT794" s="1019" t="s">
        <v>545</v>
      </c>
      <c r="BU794" s="1019" t="s">
        <v>754</v>
      </c>
    </row>
    <row r="795" spans="2:73" ht="12" x14ac:dyDescent="0.4">
      <c r="C795" s="964"/>
      <c r="D795" s="691"/>
      <c r="E795" s="692"/>
      <c r="F795" s="695"/>
      <c r="G795" s="454"/>
      <c r="H795" s="455"/>
      <c r="I795" s="455"/>
      <c r="J795" s="455"/>
      <c r="K795" s="1037" t="str">
        <f>IF($AB$3="ON","→","")</f>
        <v>→</v>
      </c>
      <c r="L795" s="1037" t="str">
        <f>IF($AB$3="ON","→","")</f>
        <v>→</v>
      </c>
      <c r="M795" s="1037" t="str">
        <f>IF($AB$3="ON","→","")</f>
        <v>→</v>
      </c>
      <c r="N795" s="1037" t="str">
        <f>IF($AB$3="ON","→","")</f>
        <v>→</v>
      </c>
      <c r="O795" s="455"/>
      <c r="P795" s="455"/>
      <c r="Q795" s="455"/>
      <c r="R795" s="469"/>
      <c r="BR795" s="1019" t="s">
        <v>733</v>
      </c>
      <c r="BS795" s="1019" t="s">
        <v>491</v>
      </c>
      <c r="BT795" s="1019" t="s">
        <v>539</v>
      </c>
      <c r="BU795" s="1019" t="s">
        <v>847</v>
      </c>
    </row>
    <row r="796" spans="2:73" ht="12" x14ac:dyDescent="0.4">
      <c r="C796" s="461"/>
      <c r="D796" s="452"/>
      <c r="E796" s="452"/>
      <c r="F796" s="452"/>
      <c r="G796" s="455"/>
      <c r="H796" s="455"/>
      <c r="I796" s="455"/>
      <c r="J796" s="455"/>
      <c r="K796" s="1037" t="str">
        <f t="shared" ref="K796:K802" si="43">IF($AB$3="ON","↑","")</f>
        <v>↑</v>
      </c>
      <c r="L796" s="455"/>
      <c r="M796" s="455"/>
      <c r="N796" s="455"/>
      <c r="O796" s="455"/>
      <c r="P796" s="455"/>
      <c r="Q796" s="455"/>
      <c r="R796" s="469"/>
      <c r="BR796" s="1019" t="s">
        <v>508</v>
      </c>
      <c r="BS796" s="1019" t="s">
        <v>486</v>
      </c>
      <c r="BT796" s="1019" t="s">
        <v>539</v>
      </c>
      <c r="BU796" s="1019" t="s">
        <v>1075</v>
      </c>
    </row>
    <row r="797" spans="2:73" ht="12" x14ac:dyDescent="0.4">
      <c r="B797" s="125">
        <v>5</v>
      </c>
      <c r="C797" s="461"/>
      <c r="D797" s="455"/>
      <c r="E797" s="455"/>
      <c r="F797" s="455"/>
      <c r="G797" s="455"/>
      <c r="H797" s="455"/>
      <c r="I797" s="455"/>
      <c r="J797" s="455"/>
      <c r="K797" s="1037" t="str">
        <f t="shared" si="43"/>
        <v>↑</v>
      </c>
      <c r="L797" s="455"/>
      <c r="M797" s="455"/>
      <c r="N797" s="455"/>
      <c r="O797" s="455"/>
      <c r="P797" s="455"/>
      <c r="Q797" s="455"/>
      <c r="R797" s="469"/>
    </row>
    <row r="798" spans="2:73" ht="12" x14ac:dyDescent="0.4">
      <c r="C798" s="461"/>
      <c r="D798" s="455"/>
      <c r="E798" s="455"/>
      <c r="F798" s="455"/>
      <c r="G798" s="455"/>
      <c r="H798" s="455"/>
      <c r="I798" s="455"/>
      <c r="J798" s="455"/>
      <c r="K798" s="1037" t="str">
        <f t="shared" si="43"/>
        <v>↑</v>
      </c>
      <c r="L798" s="455"/>
      <c r="M798" s="455"/>
      <c r="N798" s="455"/>
      <c r="O798" s="455"/>
      <c r="P798" s="455"/>
      <c r="Q798" s="455"/>
      <c r="R798" s="469"/>
    </row>
    <row r="799" spans="2:73" ht="12" x14ac:dyDescent="0.4">
      <c r="C799" s="461"/>
      <c r="D799" s="455"/>
      <c r="E799" s="455"/>
      <c r="F799" s="455"/>
      <c r="G799" s="455"/>
      <c r="H799" s="455"/>
      <c r="I799" s="455"/>
      <c r="J799" s="455"/>
      <c r="K799" s="1037" t="str">
        <f t="shared" si="43"/>
        <v>↑</v>
      </c>
      <c r="L799" s="455"/>
      <c r="M799" s="455"/>
      <c r="N799" s="455"/>
      <c r="O799" s="455"/>
      <c r="P799" s="455"/>
      <c r="Q799" s="455"/>
      <c r="R799" s="469"/>
    </row>
    <row r="800" spans="2:73" ht="12" x14ac:dyDescent="0.4">
      <c r="C800" s="461"/>
      <c r="D800" s="455"/>
      <c r="E800" s="455"/>
      <c r="F800" s="455"/>
      <c r="G800" s="455"/>
      <c r="H800" s="455"/>
      <c r="I800" s="455"/>
      <c r="J800" s="455"/>
      <c r="K800" s="1037" t="str">
        <f t="shared" si="43"/>
        <v>↑</v>
      </c>
      <c r="L800" s="455"/>
      <c r="M800" s="455"/>
      <c r="N800" s="455"/>
      <c r="O800" s="455"/>
      <c r="P800" s="455"/>
      <c r="Q800" s="455"/>
      <c r="R800" s="469"/>
    </row>
    <row r="801" spans="2:73" ht="12" x14ac:dyDescent="0.4">
      <c r="C801" s="461"/>
      <c r="D801" s="455"/>
      <c r="E801" s="455"/>
      <c r="F801" s="455"/>
      <c r="G801" s="455"/>
      <c r="H801" s="455"/>
      <c r="I801" s="455"/>
      <c r="J801" s="455"/>
      <c r="K801" s="1037" t="str">
        <f t="shared" si="43"/>
        <v>↑</v>
      </c>
      <c r="L801" s="455"/>
      <c r="M801" s="455"/>
      <c r="N801" s="455"/>
      <c r="O801" s="455"/>
      <c r="P801" s="455"/>
      <c r="Q801" s="455"/>
      <c r="R801" s="469"/>
    </row>
    <row r="802" spans="2:73" ht="12" x14ac:dyDescent="0.4">
      <c r="B802" s="125">
        <v>10</v>
      </c>
      <c r="C802" s="461"/>
      <c r="D802" s="455"/>
      <c r="E802" s="455"/>
      <c r="F802" s="455"/>
      <c r="G802" s="455"/>
      <c r="H802" s="455"/>
      <c r="I802" s="455"/>
      <c r="J802" s="455"/>
      <c r="K802" s="1037" t="str">
        <f t="shared" si="43"/>
        <v>↑</v>
      </c>
      <c r="L802" s="455"/>
      <c r="M802" s="455"/>
      <c r="N802" s="455"/>
      <c r="O802" s="455"/>
      <c r="P802" s="455"/>
      <c r="Q802" s="455"/>
      <c r="R802" s="469"/>
    </row>
    <row r="803" spans="2:73" ht="11.25" thickBot="1" x14ac:dyDescent="0.45">
      <c r="C803" s="465"/>
      <c r="D803" s="466"/>
      <c r="E803" s="466"/>
      <c r="F803" s="466"/>
      <c r="G803" s="466"/>
      <c r="H803" s="466"/>
      <c r="I803" s="466"/>
      <c r="J803" s="466"/>
      <c r="K803" s="643" t="s">
        <v>508</v>
      </c>
      <c r="L803" s="466"/>
      <c r="M803" s="466"/>
      <c r="N803" s="466"/>
      <c r="O803" s="466"/>
      <c r="P803" s="466"/>
      <c r="Q803" s="466"/>
      <c r="R803" s="470"/>
    </row>
    <row r="807" spans="2:73" ht="15.75" x14ac:dyDescent="0.4">
      <c r="B807" s="122" t="s">
        <v>1076</v>
      </c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  <c r="AL807" s="121"/>
      <c r="AM807" s="121"/>
      <c r="AN807" s="121"/>
      <c r="AO807" s="121"/>
      <c r="AP807" s="121"/>
      <c r="AQ807" s="121"/>
      <c r="AR807" s="121"/>
      <c r="AS807" s="121"/>
      <c r="AT807" s="121"/>
      <c r="AU807" s="121"/>
      <c r="AV807" s="121"/>
      <c r="AW807" s="121"/>
      <c r="AX807" s="121"/>
      <c r="AY807" s="121"/>
      <c r="AZ807" s="121"/>
      <c r="BA807" s="121"/>
      <c r="BB807" s="121"/>
      <c r="BC807" s="121"/>
      <c r="BD807" s="121"/>
      <c r="BE807" s="121"/>
      <c r="BF807" s="121"/>
      <c r="BG807" s="121"/>
      <c r="BH807" s="121"/>
      <c r="BI807" s="121"/>
      <c r="BJ807" s="123" t="s">
        <v>1077</v>
      </c>
      <c r="BK807" s="121"/>
      <c r="BL807" s="121"/>
      <c r="BM807" s="121"/>
      <c r="BN807" s="121"/>
      <c r="BO807" s="121"/>
      <c r="BP807" s="121"/>
      <c r="BQ807" s="121"/>
      <c r="BR807" s="121"/>
      <c r="BS807" s="121"/>
      <c r="BT807" s="121"/>
      <c r="BU807" s="121"/>
    </row>
    <row r="808" spans="2:73" ht="12" x14ac:dyDescent="0.4">
      <c r="B808" s="124" t="s">
        <v>1078</v>
      </c>
    </row>
    <row r="809" spans="2:73" ht="12.75" thickBot="1" x14ac:dyDescent="0.45">
      <c r="C809" s="125">
        <v>0</v>
      </c>
      <c r="H809" s="125">
        <v>5</v>
      </c>
      <c r="M809" s="125">
        <v>10</v>
      </c>
      <c r="R809" s="125">
        <v>15</v>
      </c>
      <c r="W809" s="125">
        <v>20</v>
      </c>
      <c r="AB809" s="125">
        <v>25</v>
      </c>
      <c r="AG809" s="125">
        <v>30</v>
      </c>
      <c r="AL809" s="125">
        <v>35</v>
      </c>
      <c r="AQ809" s="125">
        <v>40</v>
      </c>
      <c r="BR809" s="272" t="s">
        <v>310</v>
      </c>
      <c r="BS809" s="272" t="s">
        <v>529</v>
      </c>
      <c r="BT809" s="272" t="s">
        <v>530</v>
      </c>
      <c r="BU809" s="272" t="s">
        <v>531</v>
      </c>
    </row>
    <row r="810" spans="2:73" ht="12" x14ac:dyDescent="0.4">
      <c r="B810" s="125">
        <v>0</v>
      </c>
      <c r="C810" s="974"/>
      <c r="D810" s="975"/>
      <c r="E810" s="975"/>
      <c r="F810" s="975"/>
      <c r="G810" s="975"/>
      <c r="H810" s="975"/>
      <c r="I810" s="975"/>
      <c r="J810" s="975"/>
      <c r="K810" s="975"/>
      <c r="L810" s="975"/>
      <c r="M810" s="975"/>
      <c r="N810" s="975"/>
      <c r="O810" s="975"/>
      <c r="P810" s="976"/>
      <c r="Q810" s="672" t="s">
        <v>1079</v>
      </c>
      <c r="R810" s="666"/>
      <c r="S810" s="666"/>
      <c r="T810" s="666"/>
      <c r="U810" s="666"/>
      <c r="V810" s="666"/>
      <c r="W810" s="666"/>
      <c r="X810" s="666"/>
      <c r="Y810" s="666"/>
      <c r="Z810" s="666"/>
      <c r="AA810" s="666"/>
      <c r="AB810" s="666"/>
      <c r="AC810" s="666"/>
      <c r="AD810" s="666"/>
      <c r="AE810" s="666"/>
      <c r="AF810" s="669"/>
      <c r="AG810" s="980"/>
      <c r="AH810" s="975"/>
      <c r="AI810" s="975"/>
      <c r="AJ810" s="975"/>
      <c r="AK810" s="975"/>
      <c r="AL810" s="975"/>
      <c r="AM810" s="975"/>
      <c r="AN810" s="975"/>
      <c r="AO810" s="975"/>
      <c r="AP810" s="975"/>
      <c r="AQ810" s="975"/>
      <c r="AR810" s="975"/>
      <c r="AS810" s="975"/>
      <c r="AT810" s="978"/>
      <c r="BR810" s="1019" t="s">
        <v>1079</v>
      </c>
      <c r="BS810" s="1019" t="s">
        <v>473</v>
      </c>
      <c r="BT810" s="1019" t="s">
        <v>1087</v>
      </c>
      <c r="BU810" s="1019" t="s">
        <v>1005</v>
      </c>
    </row>
    <row r="811" spans="2:73" ht="12" x14ac:dyDescent="0.4">
      <c r="C811" s="972"/>
      <c r="D811" s="780"/>
      <c r="E811" s="780"/>
      <c r="F811" s="780"/>
      <c r="G811" s="780"/>
      <c r="H811" s="780"/>
      <c r="I811" s="780"/>
      <c r="J811" s="780"/>
      <c r="K811" s="780"/>
      <c r="L811" s="780"/>
      <c r="M811" s="780"/>
      <c r="N811" s="780"/>
      <c r="O811" s="780"/>
      <c r="P811" s="969"/>
      <c r="Q811" s="665"/>
      <c r="R811" s="663"/>
      <c r="S811" s="663"/>
      <c r="T811" s="663"/>
      <c r="U811" s="663"/>
      <c r="V811" s="663"/>
      <c r="W811" s="663"/>
      <c r="X811" s="663"/>
      <c r="Y811" s="663"/>
      <c r="Z811" s="663"/>
      <c r="AA811" s="663"/>
      <c r="AB811" s="663"/>
      <c r="AC811" s="663"/>
      <c r="AD811" s="663"/>
      <c r="AE811" s="663"/>
      <c r="AF811" s="670"/>
      <c r="AG811" s="779"/>
      <c r="AH811" s="780"/>
      <c r="AI811" s="780"/>
      <c r="AJ811" s="780"/>
      <c r="AK811" s="780"/>
      <c r="AL811" s="780"/>
      <c r="AM811" s="780"/>
      <c r="AN811" s="780"/>
      <c r="AO811" s="780"/>
      <c r="AP811" s="780"/>
      <c r="AQ811" s="780"/>
      <c r="AR811" s="780"/>
      <c r="AS811" s="780"/>
      <c r="AT811" s="979"/>
      <c r="BR811" s="1019" t="s">
        <v>1080</v>
      </c>
      <c r="BS811" s="1019" t="s">
        <v>433</v>
      </c>
      <c r="BT811" s="1019" t="s">
        <v>887</v>
      </c>
      <c r="BU811" s="1019" t="s">
        <v>1088</v>
      </c>
    </row>
    <row r="812" spans="2:73" ht="12" x14ac:dyDescent="0.4">
      <c r="C812" s="972"/>
      <c r="D812" s="780"/>
      <c r="E812" s="780"/>
      <c r="F812" s="780"/>
      <c r="G812" s="780"/>
      <c r="H812" s="780"/>
      <c r="I812" s="780"/>
      <c r="J812" s="780"/>
      <c r="K812" s="780"/>
      <c r="L812" s="780"/>
      <c r="M812" s="780"/>
      <c r="N812" s="780"/>
      <c r="O812" s="780"/>
      <c r="P812" s="969"/>
      <c r="Q812" s="665"/>
      <c r="R812" s="663"/>
      <c r="S812" s="663"/>
      <c r="T812" s="663"/>
      <c r="U812" s="663"/>
      <c r="V812" s="663"/>
      <c r="W812" s="663"/>
      <c r="X812" s="663"/>
      <c r="Y812" s="663"/>
      <c r="Z812" s="663"/>
      <c r="AA812" s="663"/>
      <c r="AB812" s="663"/>
      <c r="AC812" s="663"/>
      <c r="AD812" s="663"/>
      <c r="AE812" s="663"/>
      <c r="AF812" s="670"/>
      <c r="AG812" s="779"/>
      <c r="AH812" s="780"/>
      <c r="AI812" s="780"/>
      <c r="AJ812" s="780"/>
      <c r="AK812" s="780"/>
      <c r="AL812" s="780"/>
      <c r="AM812" s="780"/>
      <c r="AN812" s="780"/>
      <c r="AO812" s="780"/>
      <c r="AP812" s="780"/>
      <c r="AQ812" s="780"/>
      <c r="AR812" s="780"/>
      <c r="AS812" s="780"/>
      <c r="AT812" s="979"/>
      <c r="BR812" s="1019" t="s">
        <v>1081</v>
      </c>
      <c r="BS812" s="1019" t="s">
        <v>474</v>
      </c>
      <c r="BT812" s="1019" t="s">
        <v>1089</v>
      </c>
      <c r="BU812" s="1019" t="s">
        <v>1090</v>
      </c>
    </row>
    <row r="813" spans="2:73" ht="12" x14ac:dyDescent="0.4">
      <c r="C813" s="972"/>
      <c r="D813" s="780"/>
      <c r="E813" s="780"/>
      <c r="F813" s="780"/>
      <c r="G813" s="780"/>
      <c r="H813" s="780"/>
      <c r="I813" s="970"/>
      <c r="J813" s="970"/>
      <c r="K813" s="780"/>
      <c r="L813" s="780"/>
      <c r="M813" s="780"/>
      <c r="N813" s="780"/>
      <c r="O813" s="780"/>
      <c r="P813" s="969"/>
      <c r="Q813" s="665"/>
      <c r="R813" s="663"/>
      <c r="S813" s="663"/>
      <c r="T813" s="663"/>
      <c r="U813" s="663"/>
      <c r="V813" s="663"/>
      <c r="W813" s="663"/>
      <c r="X813" s="663"/>
      <c r="Y813" s="663"/>
      <c r="Z813" s="663"/>
      <c r="AA813" s="663"/>
      <c r="AB813" s="663"/>
      <c r="AC813" s="663"/>
      <c r="AD813" s="663"/>
      <c r="AE813" s="663"/>
      <c r="AF813" s="670"/>
      <c r="AG813" s="779"/>
      <c r="AH813" s="780"/>
      <c r="AI813" s="780"/>
      <c r="AJ813" s="780"/>
      <c r="AK813" s="780"/>
      <c r="AL813" s="780"/>
      <c r="AM813" s="970"/>
      <c r="AN813" s="970"/>
      <c r="AO813" s="780"/>
      <c r="AP813" s="780"/>
      <c r="AQ813" s="780"/>
      <c r="AR813" s="780"/>
      <c r="AS813" s="780"/>
      <c r="AT813" s="979"/>
      <c r="BR813" s="1019" t="s">
        <v>1082</v>
      </c>
      <c r="BS813" s="1019" t="s">
        <v>481</v>
      </c>
      <c r="BT813" s="1019" t="s">
        <v>586</v>
      </c>
      <c r="BU813" s="1019" t="s">
        <v>920</v>
      </c>
    </row>
    <row r="814" spans="2:73" ht="12" x14ac:dyDescent="0.4">
      <c r="C814" s="972"/>
      <c r="D814" s="780"/>
      <c r="E814" s="780"/>
      <c r="F814" s="780"/>
      <c r="G814" s="780"/>
      <c r="H814" s="969"/>
      <c r="I814" s="985" t="s">
        <v>1082</v>
      </c>
      <c r="J814" s="983"/>
      <c r="K814" s="779"/>
      <c r="L814" s="780"/>
      <c r="M814" s="780"/>
      <c r="N814" s="780"/>
      <c r="O814" s="780"/>
      <c r="P814" s="969"/>
      <c r="Q814" s="665"/>
      <c r="R814" s="663"/>
      <c r="S814" s="663"/>
      <c r="T814" s="663"/>
      <c r="U814" s="663"/>
      <c r="V814" s="663"/>
      <c r="W814" s="663"/>
      <c r="X814" s="663"/>
      <c r="Y814" s="663"/>
      <c r="Z814" s="663"/>
      <c r="AA814" s="663"/>
      <c r="AB814" s="663"/>
      <c r="AC814" s="663"/>
      <c r="AD814" s="663"/>
      <c r="AE814" s="663"/>
      <c r="AF814" s="670"/>
      <c r="AG814" s="779"/>
      <c r="AH814" s="780"/>
      <c r="AI814" s="780"/>
      <c r="AJ814" s="780"/>
      <c r="AK814" s="780"/>
      <c r="AL814" s="969"/>
      <c r="AM814" s="985" t="s">
        <v>1082</v>
      </c>
      <c r="AN814" s="983"/>
      <c r="AO814" s="779"/>
      <c r="AP814" s="780"/>
      <c r="AQ814" s="780"/>
      <c r="AR814" s="780"/>
      <c r="AS814" s="780"/>
      <c r="AT814" s="979"/>
      <c r="BR814" s="1019" t="s">
        <v>1082</v>
      </c>
      <c r="BS814" s="1019" t="s">
        <v>481</v>
      </c>
      <c r="BT814" s="1019" t="s">
        <v>586</v>
      </c>
      <c r="BU814" s="1019" t="s">
        <v>1091</v>
      </c>
    </row>
    <row r="815" spans="2:73" ht="12" x14ac:dyDescent="0.4">
      <c r="B815" s="125">
        <v>5</v>
      </c>
      <c r="C815" s="972"/>
      <c r="D815" s="780"/>
      <c r="E815" s="780"/>
      <c r="F815" s="780"/>
      <c r="G815" s="780"/>
      <c r="H815" s="969"/>
      <c r="I815" s="982"/>
      <c r="J815" s="984"/>
      <c r="K815" s="779"/>
      <c r="L815" s="780"/>
      <c r="M815" s="780"/>
      <c r="N815" s="780"/>
      <c r="O815" s="780"/>
      <c r="P815" s="969"/>
      <c r="Q815" s="665"/>
      <c r="R815" s="663"/>
      <c r="S815" s="663"/>
      <c r="T815" s="663"/>
      <c r="U815" s="663"/>
      <c r="V815" s="663"/>
      <c r="W815" s="663"/>
      <c r="X815" s="663"/>
      <c r="Y815" s="663"/>
      <c r="Z815" s="663"/>
      <c r="AA815" s="663"/>
      <c r="AB815" s="663"/>
      <c r="AC815" s="663"/>
      <c r="AD815" s="663"/>
      <c r="AE815" s="663"/>
      <c r="AF815" s="670"/>
      <c r="AG815" s="779"/>
      <c r="AH815" s="780"/>
      <c r="AI815" s="780"/>
      <c r="AJ815" s="780"/>
      <c r="AK815" s="780"/>
      <c r="AL815" s="969"/>
      <c r="AM815" s="982"/>
      <c r="AN815" s="984"/>
      <c r="AO815" s="779"/>
      <c r="AP815" s="780"/>
      <c r="AQ815" s="780"/>
      <c r="AR815" s="780"/>
      <c r="AS815" s="780"/>
      <c r="AT815" s="979"/>
      <c r="BR815" s="1019" t="s">
        <v>1082</v>
      </c>
      <c r="BS815" s="1019" t="s">
        <v>481</v>
      </c>
      <c r="BT815" s="1019" t="s">
        <v>586</v>
      </c>
      <c r="BU815" s="1019" t="s">
        <v>1092</v>
      </c>
    </row>
    <row r="816" spans="2:73" ht="12" x14ac:dyDescent="0.4">
      <c r="C816" s="972"/>
      <c r="D816" s="780"/>
      <c r="E816" s="780"/>
      <c r="F816" s="780"/>
      <c r="G816" s="780"/>
      <c r="H816" s="780"/>
      <c r="I816" s="967"/>
      <c r="J816" s="967"/>
      <c r="K816" s="780"/>
      <c r="L816" s="780"/>
      <c r="M816" s="780"/>
      <c r="N816" s="780"/>
      <c r="O816" s="780"/>
      <c r="P816" s="969"/>
      <c r="Q816" s="665"/>
      <c r="R816" s="663"/>
      <c r="S816" s="663"/>
      <c r="T816" s="663"/>
      <c r="U816" s="663"/>
      <c r="V816" s="663"/>
      <c r="W816" s="663"/>
      <c r="X816" s="663"/>
      <c r="Y816" s="663"/>
      <c r="Z816" s="663"/>
      <c r="AA816" s="663"/>
      <c r="AB816" s="663"/>
      <c r="AC816" s="663"/>
      <c r="AD816" s="663"/>
      <c r="AE816" s="663"/>
      <c r="AF816" s="670"/>
      <c r="AG816" s="779"/>
      <c r="AH816" s="780"/>
      <c r="AI816" s="780"/>
      <c r="AJ816" s="780"/>
      <c r="AK816" s="780"/>
      <c r="AL816" s="780"/>
      <c r="AM816" s="967"/>
      <c r="AN816" s="967"/>
      <c r="AO816" s="780"/>
      <c r="AP816" s="780"/>
      <c r="AQ816" s="780"/>
      <c r="AR816" s="780"/>
      <c r="AS816" s="780"/>
      <c r="AT816" s="979"/>
      <c r="BR816" s="1019" t="s">
        <v>1082</v>
      </c>
      <c r="BS816" s="1019" t="s">
        <v>481</v>
      </c>
      <c r="BT816" s="1019" t="s">
        <v>586</v>
      </c>
      <c r="BU816" s="1019" t="s">
        <v>1093</v>
      </c>
    </row>
    <row r="817" spans="2:73" ht="12" x14ac:dyDescent="0.4">
      <c r="C817" s="972"/>
      <c r="D817" s="780"/>
      <c r="E817" s="780"/>
      <c r="F817" s="780"/>
      <c r="G817" s="780"/>
      <c r="H817" s="780"/>
      <c r="I817" s="780"/>
      <c r="J817" s="780"/>
      <c r="K817" s="780"/>
      <c r="L817" s="780"/>
      <c r="M817" s="780"/>
      <c r="N817" s="780"/>
      <c r="O817" s="780"/>
      <c r="P817" s="969"/>
      <c r="Q817" s="667"/>
      <c r="R817" s="668"/>
      <c r="S817" s="668"/>
      <c r="T817" s="668"/>
      <c r="U817" s="673"/>
      <c r="V817" s="673"/>
      <c r="W817" s="673"/>
      <c r="X817" s="673"/>
      <c r="Y817" s="673"/>
      <c r="Z817" s="673"/>
      <c r="AA817" s="673"/>
      <c r="AB817" s="673"/>
      <c r="AC817" s="668"/>
      <c r="AD817" s="668"/>
      <c r="AE817" s="668"/>
      <c r="AF817" s="671"/>
      <c r="AG817" s="779"/>
      <c r="AH817" s="780"/>
      <c r="AI817" s="780"/>
      <c r="AJ817" s="780"/>
      <c r="AK817" s="780"/>
      <c r="AL817" s="780"/>
      <c r="AM817" s="780"/>
      <c r="AN817" s="780"/>
      <c r="AO817" s="780"/>
      <c r="AP817" s="780"/>
      <c r="AQ817" s="780"/>
      <c r="AR817" s="780"/>
      <c r="AS817" s="780"/>
      <c r="AT817" s="979"/>
      <c r="BR817" s="1019" t="s">
        <v>1083</v>
      </c>
      <c r="BS817" s="1019" t="s">
        <v>477</v>
      </c>
      <c r="BT817" s="1019" t="s">
        <v>539</v>
      </c>
      <c r="BU817" s="1019" t="s">
        <v>1094</v>
      </c>
    </row>
    <row r="818" spans="2:73" ht="12" x14ac:dyDescent="0.4">
      <c r="C818" s="972"/>
      <c r="D818" s="780"/>
      <c r="E818" s="780"/>
      <c r="F818" s="780"/>
      <c r="G818" s="780"/>
      <c r="H818" s="780"/>
      <c r="I818" s="780"/>
      <c r="J818" s="780"/>
      <c r="K818" s="780"/>
      <c r="L818" s="780"/>
      <c r="M818" s="780"/>
      <c r="N818" s="780"/>
      <c r="O818" s="780"/>
      <c r="P818" s="780"/>
      <c r="Q818" s="967"/>
      <c r="R818" s="967"/>
      <c r="S818" s="967"/>
      <c r="T818" s="968"/>
      <c r="U818" s="404" t="s">
        <v>1080</v>
      </c>
      <c r="V818" s="396"/>
      <c r="W818" s="396"/>
      <c r="X818" s="396"/>
      <c r="Y818" s="396"/>
      <c r="Z818" s="396"/>
      <c r="AA818" s="396"/>
      <c r="AB818" s="401"/>
      <c r="AC818" s="966"/>
      <c r="AD818" s="967"/>
      <c r="AE818" s="967"/>
      <c r="AF818" s="967"/>
      <c r="AG818" s="780"/>
      <c r="AH818" s="780"/>
      <c r="AI818" s="780"/>
      <c r="AJ818" s="780"/>
      <c r="AK818" s="780"/>
      <c r="AL818" s="780"/>
      <c r="AM818" s="780"/>
      <c r="AN818" s="780"/>
      <c r="AO818" s="780"/>
      <c r="AP818" s="780"/>
      <c r="AQ818" s="780"/>
      <c r="AR818" s="780"/>
      <c r="AS818" s="780"/>
      <c r="AT818" s="979"/>
      <c r="BR818" s="1019" t="s">
        <v>1083</v>
      </c>
      <c r="BS818" s="1019" t="s">
        <v>477</v>
      </c>
      <c r="BT818" s="1019" t="s">
        <v>539</v>
      </c>
      <c r="BU818" s="1019" t="s">
        <v>1095</v>
      </c>
    </row>
    <row r="819" spans="2:73" ht="12" x14ac:dyDescent="0.4">
      <c r="C819" s="972"/>
      <c r="D819" s="780"/>
      <c r="E819" s="780"/>
      <c r="F819" s="780"/>
      <c r="G819" s="780"/>
      <c r="H819" s="780"/>
      <c r="I819" s="780"/>
      <c r="J819" s="780"/>
      <c r="K819" s="780"/>
      <c r="L819" s="780"/>
      <c r="M819" s="780"/>
      <c r="N819" s="780"/>
      <c r="O819" s="780"/>
      <c r="P819" s="780"/>
      <c r="Q819" s="780"/>
      <c r="R819" s="780"/>
      <c r="S819" s="780"/>
      <c r="T819" s="969"/>
      <c r="U819" s="398"/>
      <c r="V819" s="395"/>
      <c r="W819" s="395"/>
      <c r="X819" s="1065" t="str">
        <f t="shared" ref="X819:X825" si="44">IF($AB$3="ON","↑","")</f>
        <v>↑</v>
      </c>
      <c r="Y819" s="395"/>
      <c r="Z819" s="395"/>
      <c r="AA819" s="395"/>
      <c r="AB819" s="402"/>
      <c r="AC819" s="779"/>
      <c r="AD819" s="780"/>
      <c r="AE819" s="780"/>
      <c r="AF819" s="780"/>
      <c r="AG819" s="780"/>
      <c r="AH819" s="780"/>
      <c r="AI819" s="780"/>
      <c r="AJ819" s="780"/>
      <c r="AK819" s="780"/>
      <c r="AL819" s="780"/>
      <c r="AM819" s="780"/>
      <c r="AN819" s="780"/>
      <c r="AO819" s="780"/>
      <c r="AP819" s="780"/>
      <c r="AQ819" s="780"/>
      <c r="AR819" s="780"/>
      <c r="AS819" s="780"/>
      <c r="AT819" s="979"/>
      <c r="BR819" s="1019" t="s">
        <v>1085</v>
      </c>
      <c r="BS819" s="1019" t="s">
        <v>467</v>
      </c>
      <c r="BT819" s="1019" t="s">
        <v>822</v>
      </c>
      <c r="BU819" s="1019" t="s">
        <v>906</v>
      </c>
    </row>
    <row r="820" spans="2:73" ht="12" x14ac:dyDescent="0.4">
      <c r="B820" s="125">
        <v>10</v>
      </c>
      <c r="C820" s="972"/>
      <c r="D820" s="780"/>
      <c r="E820" s="780"/>
      <c r="F820" s="780"/>
      <c r="G820" s="780"/>
      <c r="H820" s="780"/>
      <c r="I820" s="780"/>
      <c r="J820" s="780"/>
      <c r="K820" s="780"/>
      <c r="L820" s="780"/>
      <c r="M820" s="780"/>
      <c r="N820" s="780"/>
      <c r="O820" s="780"/>
      <c r="P820" s="780"/>
      <c r="Q820" s="780"/>
      <c r="R820" s="780"/>
      <c r="S820" s="780"/>
      <c r="T820" s="969"/>
      <c r="U820" s="398"/>
      <c r="V820" s="395"/>
      <c r="W820" s="395"/>
      <c r="X820" s="1065" t="str">
        <f t="shared" si="44"/>
        <v>↑</v>
      </c>
      <c r="Y820" s="395"/>
      <c r="Z820" s="395"/>
      <c r="AA820" s="395"/>
      <c r="AB820" s="402"/>
      <c r="AC820" s="779"/>
      <c r="AD820" s="780"/>
      <c r="AE820" s="780"/>
      <c r="AF820" s="780"/>
      <c r="AG820" s="780"/>
      <c r="AH820" s="780"/>
      <c r="AI820" s="780"/>
      <c r="AJ820" s="780"/>
      <c r="AK820" s="780"/>
      <c r="AL820" s="780"/>
      <c r="AM820" s="780"/>
      <c r="AN820" s="780"/>
      <c r="AO820" s="780"/>
      <c r="AP820" s="780"/>
      <c r="AQ820" s="780"/>
      <c r="AR820" s="780"/>
      <c r="AS820" s="780"/>
      <c r="AT820" s="979"/>
      <c r="BR820" s="1019" t="s">
        <v>1085</v>
      </c>
      <c r="BS820" s="1019" t="s">
        <v>467</v>
      </c>
      <c r="BT820" s="1019" t="s">
        <v>822</v>
      </c>
      <c r="BU820" s="1019" t="s">
        <v>1096</v>
      </c>
    </row>
    <row r="821" spans="2:73" ht="12" x14ac:dyDescent="0.4">
      <c r="C821" s="972"/>
      <c r="D821" s="780"/>
      <c r="E821" s="780"/>
      <c r="F821" s="780"/>
      <c r="G821" s="780"/>
      <c r="H821" s="780"/>
      <c r="I821" s="780"/>
      <c r="J821" s="780"/>
      <c r="K821" s="780"/>
      <c r="L821" s="780"/>
      <c r="M821" s="780"/>
      <c r="N821" s="780"/>
      <c r="O821" s="780"/>
      <c r="P821" s="780"/>
      <c r="Q821" s="780"/>
      <c r="R821" s="780"/>
      <c r="S821" s="780"/>
      <c r="T821" s="969"/>
      <c r="U821" s="398"/>
      <c r="V821" s="395"/>
      <c r="W821" s="395"/>
      <c r="X821" s="1065" t="str">
        <f t="shared" si="44"/>
        <v>↑</v>
      </c>
      <c r="Y821" s="395"/>
      <c r="Z821" s="395"/>
      <c r="AA821" s="395"/>
      <c r="AB821" s="402"/>
      <c r="AC821" s="779"/>
      <c r="AD821" s="780"/>
      <c r="AE821" s="780"/>
      <c r="AF821" s="780"/>
      <c r="AG821" s="780"/>
      <c r="AH821" s="780"/>
      <c r="AI821" s="780"/>
      <c r="AJ821" s="780"/>
      <c r="AK821" s="780"/>
      <c r="AL821" s="780"/>
      <c r="AM821" s="780"/>
      <c r="AN821" s="780"/>
      <c r="AO821" s="780"/>
      <c r="AP821" s="780"/>
      <c r="AQ821" s="780"/>
      <c r="AR821" s="780"/>
      <c r="AS821" s="780"/>
      <c r="AT821" s="979"/>
      <c r="BR821" s="1019" t="s">
        <v>650</v>
      </c>
      <c r="BS821" s="1019" t="s">
        <v>435</v>
      </c>
      <c r="BT821" s="1019" t="s">
        <v>656</v>
      </c>
      <c r="BU821" s="1019" t="s">
        <v>800</v>
      </c>
    </row>
    <row r="822" spans="2:73" ht="12" x14ac:dyDescent="0.4">
      <c r="C822" s="972"/>
      <c r="D822" s="780"/>
      <c r="E822" s="780"/>
      <c r="F822" s="780"/>
      <c r="G822" s="780"/>
      <c r="H822" s="780"/>
      <c r="I822" s="780"/>
      <c r="J822" s="780"/>
      <c r="K822" s="780"/>
      <c r="L822" s="780"/>
      <c r="M822" s="632" t="s">
        <v>1083</v>
      </c>
      <c r="N822" s="780"/>
      <c r="O822" s="780"/>
      <c r="P822" s="780"/>
      <c r="Q822" s="780"/>
      <c r="R822" s="780"/>
      <c r="S822" s="780"/>
      <c r="T822" s="969"/>
      <c r="U822" s="398"/>
      <c r="V822" s="395"/>
      <c r="W822" s="395"/>
      <c r="X822" s="1065" t="str">
        <f t="shared" si="44"/>
        <v>↑</v>
      </c>
      <c r="Y822" s="395"/>
      <c r="Z822" s="395"/>
      <c r="AA822" s="395"/>
      <c r="AB822" s="402"/>
      <c r="AC822" s="779"/>
      <c r="AD822" s="780"/>
      <c r="AE822" s="780"/>
      <c r="AF822" s="780"/>
      <c r="AG822" s="780"/>
      <c r="AH822" s="780"/>
      <c r="AI822" s="780"/>
      <c r="AJ822" s="632" t="s">
        <v>1083</v>
      </c>
      <c r="AK822" s="780"/>
      <c r="AL822" s="780"/>
      <c r="AM822" s="780"/>
      <c r="AN822" s="780"/>
      <c r="AO822" s="780"/>
      <c r="AP822" s="780"/>
      <c r="AQ822" s="780"/>
      <c r="AR822" s="780"/>
      <c r="AS822" s="780"/>
      <c r="AT822" s="979"/>
      <c r="BR822" s="1019" t="s">
        <v>650</v>
      </c>
      <c r="BS822" s="1019" t="s">
        <v>435</v>
      </c>
      <c r="BT822" s="1019" t="s">
        <v>706</v>
      </c>
      <c r="BU822" s="1019" t="s">
        <v>1097</v>
      </c>
    </row>
    <row r="823" spans="2:73" ht="12" x14ac:dyDescent="0.4">
      <c r="C823" s="972"/>
      <c r="D823" s="780"/>
      <c r="E823" s="780"/>
      <c r="F823" s="780"/>
      <c r="G823" s="780"/>
      <c r="H823" s="780"/>
      <c r="I823" s="780"/>
      <c r="J823" s="780"/>
      <c r="K823" s="780"/>
      <c r="L823" s="780"/>
      <c r="M823" s="780"/>
      <c r="N823" s="780"/>
      <c r="O823" s="780"/>
      <c r="P823" s="780"/>
      <c r="Q823" s="780"/>
      <c r="R823" s="780"/>
      <c r="S823" s="780"/>
      <c r="T823" s="969"/>
      <c r="U823" s="399"/>
      <c r="V823" s="400"/>
      <c r="W823" s="400"/>
      <c r="X823" s="1064" t="str">
        <f t="shared" si="44"/>
        <v>↑</v>
      </c>
      <c r="Y823" s="400"/>
      <c r="Z823" s="400"/>
      <c r="AA823" s="400"/>
      <c r="AB823" s="403"/>
      <c r="AC823" s="779"/>
      <c r="AD823" s="780"/>
      <c r="AE823" s="780"/>
      <c r="AF823" s="780"/>
      <c r="AG823" s="780"/>
      <c r="AH823" s="780"/>
      <c r="AI823" s="780"/>
      <c r="AJ823" s="780"/>
      <c r="AK823" s="780"/>
      <c r="AL823" s="780"/>
      <c r="AM823" s="780"/>
      <c r="AN823" s="780"/>
      <c r="AO823" s="780"/>
      <c r="AP823" s="780"/>
      <c r="AQ823" s="780"/>
      <c r="AR823" s="780"/>
      <c r="AS823" s="780"/>
      <c r="AT823" s="979"/>
      <c r="BR823" s="1019" t="s">
        <v>1086</v>
      </c>
      <c r="BS823" s="1019" t="s">
        <v>481</v>
      </c>
      <c r="BT823" s="1019" t="s">
        <v>539</v>
      </c>
      <c r="BU823" s="1019" t="s">
        <v>1098</v>
      </c>
    </row>
    <row r="824" spans="2:73" ht="12" x14ac:dyDescent="0.4">
      <c r="C824" s="972"/>
      <c r="D824" s="780"/>
      <c r="E824" s="780"/>
      <c r="F824" s="780"/>
      <c r="G824" s="780"/>
      <c r="H824" s="780"/>
      <c r="I824" s="780"/>
      <c r="J824" s="780"/>
      <c r="K824" s="780"/>
      <c r="L824" s="780"/>
      <c r="M824" s="780"/>
      <c r="N824" s="780"/>
      <c r="O824" s="780"/>
      <c r="P824" s="780"/>
      <c r="Q824" s="780"/>
      <c r="R824" s="780"/>
      <c r="S824" s="780"/>
      <c r="T824" s="780"/>
      <c r="U824" s="967"/>
      <c r="V824" s="967"/>
      <c r="W824" s="967"/>
      <c r="X824" s="1092" t="str">
        <f t="shared" si="44"/>
        <v>↑</v>
      </c>
      <c r="Y824" s="967"/>
      <c r="Z824" s="967"/>
      <c r="AA824" s="967"/>
      <c r="AB824" s="967"/>
      <c r="AC824" s="780"/>
      <c r="AD824" s="780"/>
      <c r="AE824" s="780"/>
      <c r="AF824" s="780"/>
      <c r="AG824" s="780"/>
      <c r="AH824" s="780"/>
      <c r="AI824" s="780"/>
      <c r="AJ824" s="780"/>
      <c r="AK824" s="780"/>
      <c r="AL824" s="780"/>
      <c r="AM824" s="780"/>
      <c r="AN824" s="780"/>
      <c r="AO824" s="780"/>
      <c r="AP824" s="780"/>
      <c r="AQ824" s="780"/>
      <c r="AR824" s="780"/>
      <c r="AS824" s="780"/>
      <c r="AT824" s="979"/>
      <c r="BR824" s="1019" t="s">
        <v>5</v>
      </c>
      <c r="BS824" s="1019" t="s">
        <v>490</v>
      </c>
      <c r="BT824" s="1019" t="s">
        <v>539</v>
      </c>
      <c r="BU824" s="1019" t="s">
        <v>1099</v>
      </c>
    </row>
    <row r="825" spans="2:73" ht="12" x14ac:dyDescent="0.4">
      <c r="B825" s="125">
        <v>15</v>
      </c>
      <c r="C825" s="972"/>
      <c r="D825" s="780"/>
      <c r="E825" s="780"/>
      <c r="F825" s="780"/>
      <c r="G825" s="780"/>
      <c r="H825" s="780"/>
      <c r="I825" s="780"/>
      <c r="J825" s="780"/>
      <c r="K825" s="780"/>
      <c r="L825" s="780"/>
      <c r="M825" s="780"/>
      <c r="N825" s="780"/>
      <c r="O825" s="970"/>
      <c r="P825" s="970"/>
      <c r="Q825" s="970"/>
      <c r="R825" s="970"/>
      <c r="S825" s="970"/>
      <c r="T825" s="970"/>
      <c r="U825" s="970"/>
      <c r="V825" s="970"/>
      <c r="W825" s="970"/>
      <c r="X825" s="1095" t="str">
        <f t="shared" si="44"/>
        <v>↑</v>
      </c>
      <c r="Y825" s="970"/>
      <c r="Z825" s="970"/>
      <c r="AA825" s="970"/>
      <c r="AB825" s="970"/>
      <c r="AC825" s="970"/>
      <c r="AD825" s="970"/>
      <c r="AE825" s="970"/>
      <c r="AF825" s="970"/>
      <c r="AG825" s="970"/>
      <c r="AH825" s="970"/>
      <c r="AI825" s="780"/>
      <c r="AJ825" s="780"/>
      <c r="AK825" s="780"/>
      <c r="AL825" s="780"/>
      <c r="AM825" s="780"/>
      <c r="AN825" s="780"/>
      <c r="AO825" s="780"/>
      <c r="AP825" s="780"/>
      <c r="AQ825" s="780"/>
      <c r="AR825" s="780"/>
      <c r="AS825" s="780"/>
      <c r="AT825" s="979"/>
      <c r="BR825" s="1019" t="s">
        <v>508</v>
      </c>
      <c r="BS825" s="1019" t="s">
        <v>486</v>
      </c>
      <c r="BT825" s="1019" t="s">
        <v>539</v>
      </c>
      <c r="BU825" s="1019" t="s">
        <v>1100</v>
      </c>
    </row>
    <row r="826" spans="2:73" x14ac:dyDescent="0.4">
      <c r="C826" s="972"/>
      <c r="D826" s="780"/>
      <c r="E826" s="780"/>
      <c r="F826" s="780"/>
      <c r="G826" s="780"/>
      <c r="H826" s="780"/>
      <c r="I826" s="780"/>
      <c r="J826" s="780"/>
      <c r="K826" s="780"/>
      <c r="L826" s="780"/>
      <c r="M826" s="780"/>
      <c r="N826" s="969"/>
      <c r="O826" s="981" t="s">
        <v>1081</v>
      </c>
      <c r="P826" s="703"/>
      <c r="Q826" s="703"/>
      <c r="R826" s="703"/>
      <c r="S826" s="703"/>
      <c r="T826" s="703"/>
      <c r="U826" s="703"/>
      <c r="V826" s="703"/>
      <c r="W826" s="703"/>
      <c r="X826" s="703"/>
      <c r="Y826" s="703"/>
      <c r="Z826" s="703"/>
      <c r="AA826" s="703"/>
      <c r="AB826" s="703"/>
      <c r="AC826" s="703"/>
      <c r="AD826" s="703"/>
      <c r="AE826" s="703"/>
      <c r="AF826" s="703"/>
      <c r="AG826" s="703"/>
      <c r="AH826" s="822"/>
      <c r="AI826" s="779"/>
      <c r="AJ826" s="780"/>
      <c r="AK826" s="780"/>
      <c r="AL826" s="780"/>
      <c r="AM826" s="780"/>
      <c r="AN826" s="780"/>
      <c r="AO826" s="780"/>
      <c r="AP826" s="780"/>
      <c r="AQ826" s="780"/>
      <c r="AR826" s="780"/>
      <c r="AS826" s="780"/>
      <c r="AT826" s="979"/>
    </row>
    <row r="827" spans="2:73" ht="12" x14ac:dyDescent="0.4">
      <c r="C827" s="972"/>
      <c r="D827" s="780"/>
      <c r="E827" s="780"/>
      <c r="F827" s="780"/>
      <c r="G827" s="780"/>
      <c r="H827" s="780"/>
      <c r="I827" s="780"/>
      <c r="J827" s="780"/>
      <c r="K827" s="780"/>
      <c r="L827" s="780"/>
      <c r="M827" s="780"/>
      <c r="N827" s="969"/>
      <c r="O827" s="706"/>
      <c r="P827" s="818"/>
      <c r="Q827" s="818"/>
      <c r="R827" s="818"/>
      <c r="S827" s="818"/>
      <c r="T827" s="818"/>
      <c r="U827" s="818"/>
      <c r="V827" s="818"/>
      <c r="W827" s="818"/>
      <c r="X827" s="1094" t="str">
        <f t="shared" ref="X827:X843" si="45">IF($AB$3="ON","↑","")</f>
        <v>↑</v>
      </c>
      <c r="Y827" s="818"/>
      <c r="Z827" s="818"/>
      <c r="AA827" s="818"/>
      <c r="AB827" s="818"/>
      <c r="AC827" s="818"/>
      <c r="AD827" s="818"/>
      <c r="AE827" s="818"/>
      <c r="AF827" s="818"/>
      <c r="AG827" s="818"/>
      <c r="AH827" s="823"/>
      <c r="AI827" s="779"/>
      <c r="AJ827" s="780"/>
      <c r="AK827" s="780"/>
      <c r="AL827" s="780"/>
      <c r="AM827" s="780"/>
      <c r="AN827" s="780"/>
      <c r="AO827" s="780"/>
      <c r="AP827" s="780"/>
      <c r="AQ827" s="780"/>
      <c r="AR827" s="780"/>
      <c r="AS827" s="780"/>
      <c r="AT827" s="979"/>
    </row>
    <row r="828" spans="2:73" ht="12" x14ac:dyDescent="0.4">
      <c r="C828" s="972"/>
      <c r="D828" s="780"/>
      <c r="E828" s="780"/>
      <c r="F828" s="780"/>
      <c r="G828" s="780"/>
      <c r="H828" s="780"/>
      <c r="I828" s="780"/>
      <c r="J828" s="780"/>
      <c r="K828" s="780"/>
      <c r="L828" s="780"/>
      <c r="M828" s="780"/>
      <c r="N828" s="969"/>
      <c r="O828" s="706"/>
      <c r="P828" s="818"/>
      <c r="Q828" s="818"/>
      <c r="R828" s="818"/>
      <c r="S828" s="818"/>
      <c r="T828" s="818"/>
      <c r="U828" s="818"/>
      <c r="V828" s="818"/>
      <c r="W828" s="818"/>
      <c r="X828" s="1094" t="str">
        <f t="shared" si="45"/>
        <v>↑</v>
      </c>
      <c r="Y828" s="818"/>
      <c r="Z828" s="818"/>
      <c r="AA828" s="818"/>
      <c r="AB828" s="818"/>
      <c r="AC828" s="818"/>
      <c r="AD828" s="818"/>
      <c r="AE828" s="818"/>
      <c r="AF828" s="818"/>
      <c r="AG828" s="818"/>
      <c r="AH828" s="823"/>
      <c r="AI828" s="779"/>
      <c r="AJ828" s="780"/>
      <c r="AK828" s="780"/>
      <c r="AL828" s="780"/>
      <c r="AM828" s="780"/>
      <c r="AN828" s="780"/>
      <c r="AO828" s="780"/>
      <c r="AP828" s="780"/>
      <c r="AQ828" s="780"/>
      <c r="AR828" s="780"/>
      <c r="AS828" s="780"/>
      <c r="AT828" s="979"/>
    </row>
    <row r="829" spans="2:73" ht="12" x14ac:dyDescent="0.4">
      <c r="C829" s="972"/>
      <c r="D829" s="780"/>
      <c r="E829" s="780"/>
      <c r="F829" s="780"/>
      <c r="G829" s="780"/>
      <c r="H829" s="780"/>
      <c r="I829" s="780"/>
      <c r="J829" s="780"/>
      <c r="K829" s="780"/>
      <c r="L829" s="780"/>
      <c r="M829" s="780"/>
      <c r="N829" s="969"/>
      <c r="O829" s="706"/>
      <c r="P829" s="818"/>
      <c r="Q829" s="818"/>
      <c r="R829" s="818"/>
      <c r="S829" s="818"/>
      <c r="T829" s="818"/>
      <c r="U829" s="818"/>
      <c r="V829" s="818"/>
      <c r="W829" s="818"/>
      <c r="X829" s="1094" t="str">
        <f t="shared" si="45"/>
        <v>↑</v>
      </c>
      <c r="Y829" s="818"/>
      <c r="Z829" s="818"/>
      <c r="AA829" s="818"/>
      <c r="AB829" s="818"/>
      <c r="AC829" s="818"/>
      <c r="AD829" s="818"/>
      <c r="AE829" s="818"/>
      <c r="AF829" s="818"/>
      <c r="AG829" s="818"/>
      <c r="AH829" s="823"/>
      <c r="AI829" s="779"/>
      <c r="AJ829" s="780"/>
      <c r="AK829" s="780"/>
      <c r="AL829" s="780"/>
      <c r="AM829" s="780"/>
      <c r="AN829" s="780"/>
      <c r="AO829" s="780"/>
      <c r="AP829" s="780"/>
      <c r="AQ829" s="780"/>
      <c r="AR829" s="780"/>
      <c r="AS829" s="780"/>
      <c r="AT829" s="979"/>
    </row>
    <row r="830" spans="2:73" ht="12" x14ac:dyDescent="0.4">
      <c r="B830" s="125">
        <v>20</v>
      </c>
      <c r="C830" s="972"/>
      <c r="D830" s="780"/>
      <c r="E830" s="780"/>
      <c r="F830" s="780"/>
      <c r="G830" s="780"/>
      <c r="H830" s="780"/>
      <c r="I830" s="780"/>
      <c r="J830" s="780"/>
      <c r="K830" s="780"/>
      <c r="L830" s="780"/>
      <c r="M830" s="780"/>
      <c r="N830" s="969"/>
      <c r="O830" s="706"/>
      <c r="P830" s="818"/>
      <c r="Q830" s="818"/>
      <c r="R830" s="818"/>
      <c r="S830" s="818"/>
      <c r="T830" s="818"/>
      <c r="U830" s="818"/>
      <c r="V830" s="818"/>
      <c r="W830" s="818"/>
      <c r="X830" s="1094" t="str">
        <f t="shared" si="45"/>
        <v>↑</v>
      </c>
      <c r="Y830" s="818"/>
      <c r="Z830" s="818"/>
      <c r="AA830" s="818"/>
      <c r="AB830" s="818"/>
      <c r="AC830" s="818"/>
      <c r="AD830" s="818"/>
      <c r="AE830" s="818"/>
      <c r="AF830" s="818"/>
      <c r="AG830" s="818"/>
      <c r="AH830" s="823"/>
      <c r="AI830" s="779"/>
      <c r="AJ830" s="780"/>
      <c r="AK830" s="780"/>
      <c r="AL830" s="780"/>
      <c r="AM830" s="780"/>
      <c r="AN830" s="780"/>
      <c r="AO830" s="780"/>
      <c r="AP830" s="780"/>
      <c r="AQ830" s="780"/>
      <c r="AR830" s="780"/>
      <c r="AS830" s="780"/>
      <c r="AT830" s="979"/>
    </row>
    <row r="831" spans="2:73" ht="12" x14ac:dyDescent="0.4">
      <c r="C831" s="973"/>
      <c r="D831" s="780"/>
      <c r="E831" s="780"/>
      <c r="F831" s="780"/>
      <c r="G831" s="780"/>
      <c r="H831" s="780"/>
      <c r="I831" s="780"/>
      <c r="J831" s="780"/>
      <c r="K831" s="780"/>
      <c r="L831" s="780"/>
      <c r="M831" s="780"/>
      <c r="N831" s="969"/>
      <c r="O831" s="706"/>
      <c r="P831" s="818"/>
      <c r="Q831" s="818"/>
      <c r="R831" s="818"/>
      <c r="S831" s="818"/>
      <c r="T831" s="818"/>
      <c r="U831" s="818"/>
      <c r="V831" s="818"/>
      <c r="W831" s="818"/>
      <c r="X831" s="1094" t="str">
        <f t="shared" si="45"/>
        <v>↑</v>
      </c>
      <c r="Y831" s="818"/>
      <c r="Z831" s="818"/>
      <c r="AA831" s="818"/>
      <c r="AB831" s="818"/>
      <c r="AC831" s="818"/>
      <c r="AD831" s="818"/>
      <c r="AE831" s="818"/>
      <c r="AF831" s="818"/>
      <c r="AG831" s="818"/>
      <c r="AH831" s="823"/>
      <c r="AI831" s="779"/>
      <c r="AJ831" s="780"/>
      <c r="AK831" s="780"/>
      <c r="AL831" s="780"/>
      <c r="AM831" s="780"/>
      <c r="AN831" s="780"/>
      <c r="AO831" s="780"/>
      <c r="AP831" s="780"/>
      <c r="AQ831" s="780"/>
      <c r="AR831" s="780"/>
      <c r="AS831" s="780"/>
      <c r="AT831" s="990"/>
    </row>
    <row r="832" spans="2:73" ht="12" x14ac:dyDescent="0.4">
      <c r="C832" s="989" t="s">
        <v>1085</v>
      </c>
      <c r="D832" s="779"/>
      <c r="E832" s="780"/>
      <c r="F832" s="780"/>
      <c r="G832" s="780"/>
      <c r="H832" s="780"/>
      <c r="I832" s="780"/>
      <c r="J832" s="780"/>
      <c r="K832" s="780"/>
      <c r="L832" s="780"/>
      <c r="M832" s="780"/>
      <c r="N832" s="969"/>
      <c r="O832" s="706"/>
      <c r="P832" s="818"/>
      <c r="Q832" s="818"/>
      <c r="R832" s="818"/>
      <c r="S832" s="818"/>
      <c r="T832" s="818"/>
      <c r="U832" s="818"/>
      <c r="V832" s="818"/>
      <c r="W832" s="818"/>
      <c r="X832" s="1094" t="str">
        <f t="shared" si="45"/>
        <v>↑</v>
      </c>
      <c r="Y832" s="580" t="s">
        <v>5</v>
      </c>
      <c r="Z832" s="818"/>
      <c r="AA832" s="818"/>
      <c r="AB832" s="818"/>
      <c r="AC832" s="818"/>
      <c r="AD832" s="818"/>
      <c r="AE832" s="818"/>
      <c r="AF832" s="818"/>
      <c r="AG832" s="818"/>
      <c r="AH832" s="823"/>
      <c r="AI832" s="779"/>
      <c r="AJ832" s="780"/>
      <c r="AK832" s="780"/>
      <c r="AL832" s="780"/>
      <c r="AM832" s="780"/>
      <c r="AN832" s="780"/>
      <c r="AO832" s="780"/>
      <c r="AP832" s="780"/>
      <c r="AQ832" s="780"/>
      <c r="AR832" s="780"/>
      <c r="AS832" s="969"/>
      <c r="AT832" s="989" t="s">
        <v>1085</v>
      </c>
    </row>
    <row r="833" spans="2:46" ht="12" x14ac:dyDescent="0.4">
      <c r="C833" s="987"/>
      <c r="D833" s="779"/>
      <c r="E833" s="780"/>
      <c r="F833" s="780"/>
      <c r="G833" s="780"/>
      <c r="H833" s="780"/>
      <c r="I833" s="780"/>
      <c r="J833" s="780"/>
      <c r="K833" s="780"/>
      <c r="L833" s="780"/>
      <c r="M833" s="780"/>
      <c r="N833" s="969"/>
      <c r="O833" s="706"/>
      <c r="P833" s="818"/>
      <c r="Q833" s="818"/>
      <c r="R833" s="818"/>
      <c r="S833" s="818"/>
      <c r="T833" s="818"/>
      <c r="U833" s="818"/>
      <c r="V833" s="818"/>
      <c r="W833" s="818"/>
      <c r="X833" s="1094" t="str">
        <f t="shared" si="45"/>
        <v>↑</v>
      </c>
      <c r="Y833" s="818"/>
      <c r="Z833" s="818"/>
      <c r="AA833" s="818"/>
      <c r="AB833" s="818"/>
      <c r="AC833" s="818"/>
      <c r="AD833" s="818"/>
      <c r="AE833" s="818"/>
      <c r="AF833" s="818"/>
      <c r="AG833" s="818"/>
      <c r="AH833" s="823"/>
      <c r="AI833" s="779"/>
      <c r="AJ833" s="780"/>
      <c r="AK833" s="780"/>
      <c r="AL833" s="780"/>
      <c r="AM833" s="780"/>
      <c r="AN833" s="780"/>
      <c r="AO833" s="780"/>
      <c r="AP833" s="780"/>
      <c r="AQ833" s="780"/>
      <c r="AR833" s="780"/>
      <c r="AS833" s="969"/>
      <c r="AT833" s="987"/>
    </row>
    <row r="834" spans="2:46" ht="12" x14ac:dyDescent="0.4">
      <c r="C834" s="987"/>
      <c r="D834" s="779"/>
      <c r="E834" s="780"/>
      <c r="F834" s="780"/>
      <c r="G834" s="780"/>
      <c r="H834" s="780"/>
      <c r="I834" s="780"/>
      <c r="J834" s="780"/>
      <c r="K834" s="780"/>
      <c r="L834" s="780"/>
      <c r="M834" s="780"/>
      <c r="N834" s="969"/>
      <c r="O834" s="706"/>
      <c r="P834" s="818"/>
      <c r="Q834" s="818"/>
      <c r="R834" s="818"/>
      <c r="S834" s="818"/>
      <c r="T834" s="818"/>
      <c r="U834" s="818"/>
      <c r="V834" s="818"/>
      <c r="W834" s="818"/>
      <c r="X834" s="1094" t="str">
        <f t="shared" si="45"/>
        <v>↑</v>
      </c>
      <c r="Y834" s="818"/>
      <c r="Z834" s="818"/>
      <c r="AA834" s="818"/>
      <c r="AB834" s="818"/>
      <c r="AC834" s="818"/>
      <c r="AD834" s="818"/>
      <c r="AE834" s="818"/>
      <c r="AF834" s="818"/>
      <c r="AG834" s="818"/>
      <c r="AH834" s="823"/>
      <c r="AI834" s="779"/>
      <c r="AJ834" s="780"/>
      <c r="AK834" s="780"/>
      <c r="AL834" s="780"/>
      <c r="AM834" s="780"/>
      <c r="AN834" s="780"/>
      <c r="AO834" s="780"/>
      <c r="AP834" s="780"/>
      <c r="AQ834" s="780"/>
      <c r="AR834" s="780"/>
      <c r="AS834" s="969"/>
      <c r="AT834" s="987"/>
    </row>
    <row r="835" spans="2:46" ht="12" x14ac:dyDescent="0.4">
      <c r="B835" s="125">
        <v>25</v>
      </c>
      <c r="C835" s="988"/>
      <c r="D835" s="779"/>
      <c r="E835" s="780"/>
      <c r="F835" s="780"/>
      <c r="G835" s="780"/>
      <c r="H835" s="780"/>
      <c r="I835" s="780"/>
      <c r="J835" s="780"/>
      <c r="K835" s="780"/>
      <c r="L835" s="780"/>
      <c r="M835" s="780"/>
      <c r="N835" s="969"/>
      <c r="O835" s="706"/>
      <c r="P835" s="818"/>
      <c r="Q835" s="818"/>
      <c r="R835" s="818"/>
      <c r="S835" s="818"/>
      <c r="T835" s="818"/>
      <c r="U835" s="818"/>
      <c r="V835" s="818"/>
      <c r="W835" s="818"/>
      <c r="X835" s="1094" t="str">
        <f t="shared" si="45"/>
        <v>↑</v>
      </c>
      <c r="Y835" s="818"/>
      <c r="Z835" s="818"/>
      <c r="AA835" s="818"/>
      <c r="AB835" s="818"/>
      <c r="AC835" s="818"/>
      <c r="AD835" s="818"/>
      <c r="AE835" s="818"/>
      <c r="AF835" s="818"/>
      <c r="AG835" s="818"/>
      <c r="AH835" s="823"/>
      <c r="AI835" s="779"/>
      <c r="AJ835" s="780"/>
      <c r="AK835" s="780"/>
      <c r="AL835" s="780"/>
      <c r="AM835" s="780"/>
      <c r="AN835" s="780"/>
      <c r="AO835" s="780"/>
      <c r="AP835" s="780"/>
      <c r="AQ835" s="780"/>
      <c r="AR835" s="780"/>
      <c r="AS835" s="969"/>
      <c r="AT835" s="988"/>
    </row>
    <row r="836" spans="2:46" ht="12" x14ac:dyDescent="0.4">
      <c r="C836" s="971"/>
      <c r="D836" s="780"/>
      <c r="E836" s="780"/>
      <c r="F836" s="780"/>
      <c r="G836" s="780"/>
      <c r="H836" s="780"/>
      <c r="I836" s="780"/>
      <c r="J836" s="780"/>
      <c r="K836" s="780"/>
      <c r="L836" s="780"/>
      <c r="M836" s="780"/>
      <c r="N836" s="969"/>
      <c r="O836" s="706"/>
      <c r="P836" s="818"/>
      <c r="Q836" s="818"/>
      <c r="R836" s="818"/>
      <c r="S836" s="818"/>
      <c r="T836" s="818"/>
      <c r="U836" s="818"/>
      <c r="V836" s="818"/>
      <c r="W836" s="818"/>
      <c r="X836" s="1094" t="str">
        <f t="shared" si="45"/>
        <v>↑</v>
      </c>
      <c r="Y836" s="818"/>
      <c r="Z836" s="818"/>
      <c r="AA836" s="818"/>
      <c r="AB836" s="818"/>
      <c r="AC836" s="818"/>
      <c r="AD836" s="818"/>
      <c r="AE836" s="818"/>
      <c r="AF836" s="818"/>
      <c r="AG836" s="818"/>
      <c r="AH836" s="823"/>
      <c r="AI836" s="779"/>
      <c r="AJ836" s="780"/>
      <c r="AK836" s="780"/>
      <c r="AL836" s="780"/>
      <c r="AM836" s="780"/>
      <c r="AN836" s="780"/>
      <c r="AO836" s="780"/>
      <c r="AP836" s="780"/>
      <c r="AQ836" s="780"/>
      <c r="AR836" s="780"/>
      <c r="AS836" s="780"/>
      <c r="AT836" s="991"/>
    </row>
    <row r="837" spans="2:46" ht="12" x14ac:dyDescent="0.4">
      <c r="C837" s="972"/>
      <c r="D837" s="780"/>
      <c r="E837" s="780"/>
      <c r="F837" s="780"/>
      <c r="G837" s="780"/>
      <c r="H837" s="780"/>
      <c r="I837" s="780"/>
      <c r="J837" s="780"/>
      <c r="K837" s="780"/>
      <c r="L837" s="780"/>
      <c r="M837" s="780"/>
      <c r="N837" s="969"/>
      <c r="O837" s="706"/>
      <c r="P837" s="818"/>
      <c r="Q837" s="818"/>
      <c r="R837" s="818"/>
      <c r="S837" s="818"/>
      <c r="T837" s="818"/>
      <c r="U837" s="818"/>
      <c r="V837" s="818"/>
      <c r="W837" s="818"/>
      <c r="X837" s="1094" t="str">
        <f t="shared" si="45"/>
        <v>↑</v>
      </c>
      <c r="Y837" s="818"/>
      <c r="Z837" s="818"/>
      <c r="AA837" s="818"/>
      <c r="AB837" s="818"/>
      <c r="AC837" s="818"/>
      <c r="AD837" s="818"/>
      <c r="AE837" s="818"/>
      <c r="AF837" s="818"/>
      <c r="AG837" s="818"/>
      <c r="AH837" s="823"/>
      <c r="AI837" s="779"/>
      <c r="AJ837" s="780"/>
      <c r="AK837" s="780"/>
      <c r="AL837" s="780"/>
      <c r="AM837" s="780"/>
      <c r="AN837" s="780"/>
      <c r="AO837" s="780"/>
      <c r="AP837" s="780"/>
      <c r="AQ837" s="780"/>
      <c r="AR837" s="780"/>
      <c r="AS837" s="780"/>
      <c r="AT837" s="979"/>
    </row>
    <row r="838" spans="2:46" ht="12" x14ac:dyDescent="0.4">
      <c r="C838" s="972"/>
      <c r="D838" s="780"/>
      <c r="E838" s="780"/>
      <c r="F838" s="780"/>
      <c r="G838" s="780"/>
      <c r="H838" s="780"/>
      <c r="I838" s="780"/>
      <c r="J838" s="780"/>
      <c r="K838" s="780"/>
      <c r="L838" s="780"/>
      <c r="M838" s="780"/>
      <c r="N838" s="969"/>
      <c r="O838" s="706"/>
      <c r="P838" s="818"/>
      <c r="Q838" s="818"/>
      <c r="R838" s="818"/>
      <c r="S838" s="818"/>
      <c r="T838" s="818"/>
      <c r="U838" s="818"/>
      <c r="V838" s="818"/>
      <c r="W838" s="818"/>
      <c r="X838" s="1094" t="str">
        <f t="shared" si="45"/>
        <v>↑</v>
      </c>
      <c r="Y838" s="818"/>
      <c r="Z838" s="818"/>
      <c r="AA838" s="818"/>
      <c r="AB838" s="818"/>
      <c r="AC838" s="818"/>
      <c r="AD838" s="818"/>
      <c r="AE838" s="818"/>
      <c r="AF838" s="818"/>
      <c r="AG838" s="818"/>
      <c r="AH838" s="823"/>
      <c r="AI838" s="779"/>
      <c r="AJ838" s="780"/>
      <c r="AK838" s="780"/>
      <c r="AL838" s="780"/>
      <c r="AM838" s="780"/>
      <c r="AN838" s="780"/>
      <c r="AO838" s="780"/>
      <c r="AP838" s="780"/>
      <c r="AQ838" s="780"/>
      <c r="AR838" s="780"/>
      <c r="AS838" s="780"/>
      <c r="AT838" s="979"/>
    </row>
    <row r="839" spans="2:46" ht="12" x14ac:dyDescent="0.4">
      <c r="C839" s="972"/>
      <c r="D839" s="780"/>
      <c r="E839" s="780"/>
      <c r="F839" s="780"/>
      <c r="G839" s="780"/>
      <c r="H839" s="780"/>
      <c r="I839" s="970"/>
      <c r="J839" s="970"/>
      <c r="K839" s="780"/>
      <c r="L839" s="780"/>
      <c r="M839" s="780"/>
      <c r="N839" s="969"/>
      <c r="O839" s="706"/>
      <c r="P839" s="818"/>
      <c r="Q839" s="818"/>
      <c r="R839" s="818"/>
      <c r="S839" s="818"/>
      <c r="T839" s="818"/>
      <c r="U839" s="818"/>
      <c r="V839" s="818"/>
      <c r="W839" s="818"/>
      <c r="X839" s="1094" t="str">
        <f t="shared" si="45"/>
        <v>↑</v>
      </c>
      <c r="Y839" s="818"/>
      <c r="Z839" s="818"/>
      <c r="AA839" s="818"/>
      <c r="AB839" s="818"/>
      <c r="AC839" s="818"/>
      <c r="AD839" s="818"/>
      <c r="AE839" s="818"/>
      <c r="AF839" s="818"/>
      <c r="AG839" s="818"/>
      <c r="AH839" s="823"/>
      <c r="AI839" s="779"/>
      <c r="AJ839" s="780"/>
      <c r="AK839" s="780"/>
      <c r="AL839" s="780"/>
      <c r="AM839" s="970"/>
      <c r="AN839" s="970"/>
      <c r="AO839" s="780"/>
      <c r="AP839" s="780"/>
      <c r="AQ839" s="780"/>
      <c r="AR839" s="780"/>
      <c r="AS839" s="780"/>
      <c r="AT839" s="979"/>
    </row>
    <row r="840" spans="2:46" ht="12" x14ac:dyDescent="0.4">
      <c r="B840" s="125">
        <v>30</v>
      </c>
      <c r="C840" s="972"/>
      <c r="D840" s="780"/>
      <c r="E840" s="780"/>
      <c r="F840" s="780"/>
      <c r="G840" s="780"/>
      <c r="H840" s="969"/>
      <c r="I840" s="985" t="s">
        <v>1082</v>
      </c>
      <c r="J840" s="983"/>
      <c r="K840" s="779"/>
      <c r="L840" s="780"/>
      <c r="M840" s="780"/>
      <c r="N840" s="969"/>
      <c r="O840" s="706"/>
      <c r="P840" s="818"/>
      <c r="Q840" s="818"/>
      <c r="R840" s="818"/>
      <c r="S840" s="818"/>
      <c r="T840" s="818"/>
      <c r="U840" s="818"/>
      <c r="V840" s="818"/>
      <c r="W840" s="818"/>
      <c r="X840" s="1094" t="str">
        <f t="shared" si="45"/>
        <v>↑</v>
      </c>
      <c r="Y840" s="818"/>
      <c r="Z840" s="818"/>
      <c r="AA840" s="818"/>
      <c r="AB840" s="818"/>
      <c r="AC840" s="818"/>
      <c r="AD840" s="818"/>
      <c r="AE840" s="818"/>
      <c r="AF840" s="818"/>
      <c r="AG840" s="818"/>
      <c r="AH840" s="823"/>
      <c r="AI840" s="779"/>
      <c r="AJ840" s="780"/>
      <c r="AK840" s="780"/>
      <c r="AL840" s="969"/>
      <c r="AM840" s="985" t="s">
        <v>1082</v>
      </c>
      <c r="AN840" s="983"/>
      <c r="AO840" s="779"/>
      <c r="AP840" s="780"/>
      <c r="AQ840" s="780"/>
      <c r="AR840" s="780"/>
      <c r="AS840" s="780"/>
      <c r="AT840" s="979"/>
    </row>
    <row r="841" spans="2:46" ht="12" x14ac:dyDescent="0.4">
      <c r="C841" s="972"/>
      <c r="D841" s="780"/>
      <c r="E841" s="780"/>
      <c r="F841" s="780"/>
      <c r="G841" s="780"/>
      <c r="H841" s="969"/>
      <c r="I841" s="982"/>
      <c r="J841" s="984"/>
      <c r="K841" s="779"/>
      <c r="L841" s="780"/>
      <c r="M841" s="780"/>
      <c r="N841" s="969"/>
      <c r="O841" s="820"/>
      <c r="P841" s="821"/>
      <c r="Q841" s="821"/>
      <c r="R841" s="821"/>
      <c r="S841" s="821"/>
      <c r="T841" s="821"/>
      <c r="U841" s="821"/>
      <c r="V841" s="821"/>
      <c r="W841" s="821"/>
      <c r="X841" s="1093" t="str">
        <f t="shared" si="45"/>
        <v>↑</v>
      </c>
      <c r="Y841" s="821"/>
      <c r="Z841" s="821"/>
      <c r="AA841" s="821"/>
      <c r="AB841" s="821"/>
      <c r="AC841" s="821"/>
      <c r="AD841" s="821"/>
      <c r="AE841" s="821"/>
      <c r="AF841" s="821"/>
      <c r="AG841" s="821"/>
      <c r="AH841" s="824"/>
      <c r="AI841" s="779"/>
      <c r="AJ841" s="780"/>
      <c r="AK841" s="780"/>
      <c r="AL841" s="969"/>
      <c r="AM841" s="982"/>
      <c r="AN841" s="984"/>
      <c r="AO841" s="779"/>
      <c r="AP841" s="780"/>
      <c r="AQ841" s="780"/>
      <c r="AR841" s="780"/>
      <c r="AS841" s="780"/>
      <c r="AT841" s="979"/>
    </row>
    <row r="842" spans="2:46" ht="12" x14ac:dyDescent="0.4">
      <c r="C842" s="972"/>
      <c r="D842" s="780"/>
      <c r="E842" s="780"/>
      <c r="F842" s="780"/>
      <c r="G842" s="780"/>
      <c r="H842" s="780"/>
      <c r="I842" s="967"/>
      <c r="J842" s="967"/>
      <c r="K842" s="780"/>
      <c r="L842" s="780"/>
      <c r="M842" s="780"/>
      <c r="N842" s="780"/>
      <c r="O842" s="967"/>
      <c r="P842" s="967"/>
      <c r="Q842" s="967"/>
      <c r="R842" s="967"/>
      <c r="S842" s="967"/>
      <c r="T842" s="967"/>
      <c r="U842" s="967"/>
      <c r="V842" s="967"/>
      <c r="W842" s="967"/>
      <c r="X842" s="1092" t="str">
        <f t="shared" si="45"/>
        <v>↑</v>
      </c>
      <c r="Y842" s="967"/>
      <c r="Z842" s="967"/>
      <c r="AA842" s="967"/>
      <c r="AB842" s="967"/>
      <c r="AC842" s="967"/>
      <c r="AD842" s="967"/>
      <c r="AE842" s="967"/>
      <c r="AF842" s="967"/>
      <c r="AG842" s="967"/>
      <c r="AH842" s="967"/>
      <c r="AI842" s="780"/>
      <c r="AJ842" s="780"/>
      <c r="AK842" s="780"/>
      <c r="AL842" s="780"/>
      <c r="AM842" s="967"/>
      <c r="AN842" s="967"/>
      <c r="AO842" s="780"/>
      <c r="AP842" s="780"/>
      <c r="AQ842" s="780"/>
      <c r="AR842" s="780"/>
      <c r="AS842" s="780"/>
      <c r="AT842" s="979"/>
    </row>
    <row r="843" spans="2:46" ht="12" x14ac:dyDescent="0.4">
      <c r="C843" s="972"/>
      <c r="D843" s="780"/>
      <c r="E843" s="780"/>
      <c r="F843" s="780"/>
      <c r="G843" s="780"/>
      <c r="H843" s="780"/>
      <c r="I843" s="780"/>
      <c r="J843" s="780"/>
      <c r="K843" s="780"/>
      <c r="L843" s="780"/>
      <c r="M843" s="780"/>
      <c r="N843" s="780"/>
      <c r="O843" s="780"/>
      <c r="P843" s="780"/>
      <c r="Q843" s="780"/>
      <c r="R843" s="780"/>
      <c r="S843" s="780"/>
      <c r="T843" s="780"/>
      <c r="U843" s="780"/>
      <c r="V843" s="780"/>
      <c r="W843" s="780"/>
      <c r="X843" s="1091" t="str">
        <f t="shared" si="45"/>
        <v>↑</v>
      </c>
      <c r="Y843" s="780"/>
      <c r="Z843" s="780"/>
      <c r="AA843" s="780"/>
      <c r="AB843" s="780"/>
      <c r="AC843" s="780"/>
      <c r="AD843" s="780"/>
      <c r="AE843" s="780"/>
      <c r="AF843" s="780"/>
      <c r="AG843" s="780"/>
      <c r="AH843" s="780"/>
      <c r="AI843" s="780"/>
      <c r="AJ843" s="780"/>
      <c r="AK843" s="780"/>
      <c r="AL843" s="780"/>
      <c r="AM843" s="780"/>
      <c r="AN843" s="780"/>
      <c r="AO843" s="780"/>
      <c r="AP843" s="780"/>
      <c r="AQ843" s="780"/>
      <c r="AR843" s="780"/>
      <c r="AS843" s="780"/>
      <c r="AT843" s="979"/>
    </row>
    <row r="844" spans="2:46" ht="12" x14ac:dyDescent="0.4">
      <c r="C844" s="972"/>
      <c r="D844" s="780"/>
      <c r="E844" s="780"/>
      <c r="F844" s="780"/>
      <c r="G844" s="780"/>
      <c r="H844" s="780"/>
      <c r="I844" s="780"/>
      <c r="J844" s="780"/>
      <c r="K844" s="780"/>
      <c r="L844" s="780"/>
      <c r="M844" s="780"/>
      <c r="N844" s="780"/>
      <c r="O844" s="780"/>
      <c r="P844" s="780"/>
      <c r="Q844" s="986" t="s">
        <v>1084</v>
      </c>
      <c r="R844" s="780"/>
      <c r="S844" s="780"/>
      <c r="T844" s="780"/>
      <c r="U844" s="780"/>
      <c r="V844" s="780"/>
      <c r="W844" s="780"/>
      <c r="X844" s="780"/>
      <c r="Y844" s="780"/>
      <c r="Z844" s="780"/>
      <c r="AA844" s="780"/>
      <c r="AB844" s="780"/>
      <c r="AC844" s="780"/>
      <c r="AD844" s="780"/>
      <c r="AE844" s="780"/>
      <c r="AF844" s="780"/>
      <c r="AG844" s="780"/>
      <c r="AH844" s="780"/>
      <c r="AI844" s="780"/>
      <c r="AJ844" s="780"/>
      <c r="AK844" s="780"/>
      <c r="AL844" s="780"/>
      <c r="AM844" s="780"/>
      <c r="AN844" s="780"/>
      <c r="AO844" s="780"/>
      <c r="AP844" s="780"/>
      <c r="AQ844" s="780"/>
      <c r="AR844" s="780"/>
      <c r="AS844" s="780"/>
      <c r="AT844" s="979"/>
    </row>
    <row r="845" spans="2:46" ht="12" x14ac:dyDescent="0.4">
      <c r="B845" s="125">
        <v>35</v>
      </c>
      <c r="C845" s="972"/>
      <c r="D845" s="780"/>
      <c r="E845" s="780"/>
      <c r="F845" s="780"/>
      <c r="G845" s="780"/>
      <c r="H845" s="780"/>
      <c r="I845" s="780"/>
      <c r="J845" s="780"/>
      <c r="K845" s="780"/>
      <c r="L845" s="780"/>
      <c r="M845" s="780"/>
      <c r="N845" s="780"/>
      <c r="O845" s="780"/>
      <c r="P845" s="780"/>
      <c r="Q845" s="780"/>
      <c r="R845" s="780"/>
      <c r="S845" s="780"/>
      <c r="T845" s="780"/>
      <c r="U845" s="780"/>
      <c r="V845" s="780"/>
      <c r="W845" s="780"/>
      <c r="X845" s="1091" t="str">
        <f>IF($AB$3="ON","↑","")</f>
        <v>↑</v>
      </c>
      <c r="Y845" s="780"/>
      <c r="Z845" s="780"/>
      <c r="AA845" s="780"/>
      <c r="AB845" s="780"/>
      <c r="AC845" s="780"/>
      <c r="AD845" s="780"/>
      <c r="AE845" s="780"/>
      <c r="AF845" s="780"/>
      <c r="AG845" s="780"/>
      <c r="AH845" s="780"/>
      <c r="AI845" s="780"/>
      <c r="AJ845" s="780"/>
      <c r="AK845" s="780"/>
      <c r="AL845" s="780"/>
      <c r="AM845" s="780"/>
      <c r="AN845" s="780"/>
      <c r="AO845" s="780"/>
      <c r="AP845" s="780"/>
      <c r="AQ845" s="780"/>
      <c r="AR845" s="780"/>
      <c r="AS845" s="780"/>
      <c r="AT845" s="979"/>
    </row>
    <row r="846" spans="2:46" ht="12" x14ac:dyDescent="0.4">
      <c r="C846" s="972"/>
      <c r="D846" s="780"/>
      <c r="E846" s="780"/>
      <c r="F846" s="780"/>
      <c r="G846" s="780"/>
      <c r="H846" s="780"/>
      <c r="I846" s="780"/>
      <c r="J846" s="780"/>
      <c r="K846" s="780"/>
      <c r="L846" s="780"/>
      <c r="M846" s="780"/>
      <c r="N846" s="780"/>
      <c r="O846" s="780"/>
      <c r="P846" s="780"/>
      <c r="Q846" s="780"/>
      <c r="R846" s="780"/>
      <c r="S846" s="780"/>
      <c r="T846" s="780"/>
      <c r="U846" s="780"/>
      <c r="V846" s="780"/>
      <c r="W846" s="780"/>
      <c r="X846" s="1091" t="str">
        <f>IF($AB$3="ON","↑","")</f>
        <v>↑</v>
      </c>
      <c r="Y846" s="780"/>
      <c r="Z846" s="780"/>
      <c r="AA846" s="780"/>
      <c r="AB846" s="780"/>
      <c r="AC846" s="780"/>
      <c r="AD846" s="780"/>
      <c r="AE846" s="780"/>
      <c r="AF846" s="780"/>
      <c r="AG846" s="780"/>
      <c r="AH846" s="780"/>
      <c r="AI846" s="780"/>
      <c r="AJ846" s="780"/>
      <c r="AK846" s="780"/>
      <c r="AL846" s="780"/>
      <c r="AM846" s="780"/>
      <c r="AN846" s="780"/>
      <c r="AO846" s="780"/>
      <c r="AP846" s="780"/>
      <c r="AQ846" s="995" t="s">
        <v>1086</v>
      </c>
      <c r="AR846" s="780"/>
      <c r="AS846" s="780"/>
      <c r="AT846" s="979"/>
    </row>
    <row r="847" spans="2:46" ht="12" x14ac:dyDescent="0.4">
      <c r="C847" s="973"/>
      <c r="D847" s="970"/>
      <c r="E847" s="970"/>
      <c r="F847" s="970"/>
      <c r="G847" s="970"/>
      <c r="H847" s="970"/>
      <c r="I847" s="970"/>
      <c r="J847" s="970"/>
      <c r="K847" s="970"/>
      <c r="L847" s="970"/>
      <c r="M847" s="970"/>
      <c r="N847" s="970"/>
      <c r="O847" s="970"/>
      <c r="P847" s="970"/>
      <c r="Q847" s="970"/>
      <c r="R847" s="970"/>
      <c r="S847" s="970"/>
      <c r="T847" s="970"/>
      <c r="U847" s="780"/>
      <c r="V847" s="780"/>
      <c r="W847" s="780"/>
      <c r="X847" s="1091" t="str">
        <f>IF($AB$3="ON","↑","")</f>
        <v>↑</v>
      </c>
      <c r="Y847" s="780"/>
      <c r="Z847" s="780"/>
      <c r="AA847" s="970"/>
      <c r="AB847" s="970"/>
      <c r="AC847" s="970"/>
      <c r="AD847" s="970"/>
      <c r="AE847" s="970"/>
      <c r="AF847" s="970"/>
      <c r="AG847" s="970"/>
      <c r="AH847" s="970"/>
      <c r="AI847" s="970"/>
      <c r="AJ847" s="970"/>
      <c r="AK847" s="970"/>
      <c r="AL847" s="970"/>
      <c r="AM847" s="970"/>
      <c r="AN847" s="970"/>
      <c r="AO847" s="970"/>
      <c r="AP847" s="970"/>
      <c r="AQ847" s="970"/>
      <c r="AR847" s="970"/>
      <c r="AS847" s="970"/>
      <c r="AT847" s="990"/>
    </row>
    <row r="848" spans="2:46" ht="12" x14ac:dyDescent="0.4">
      <c r="C848" s="444" t="s">
        <v>650</v>
      </c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3"/>
      <c r="U848" s="779"/>
      <c r="V848" s="780"/>
      <c r="W848" s="780"/>
      <c r="X848" s="1091" t="str">
        <f>IF($AB$3="ON","↑","")</f>
        <v>↑</v>
      </c>
      <c r="Y848" s="780"/>
      <c r="Z848" s="969"/>
      <c r="AA848" s="444" t="s">
        <v>650</v>
      </c>
      <c r="AB848" s="442"/>
      <c r="AC848" s="442"/>
      <c r="AD848" s="442"/>
      <c r="AE848" s="442"/>
      <c r="AF848" s="442"/>
      <c r="AG848" s="442"/>
      <c r="AH848" s="442"/>
      <c r="AI848" s="442"/>
      <c r="AJ848" s="442"/>
      <c r="AK848" s="442"/>
      <c r="AL848" s="442"/>
      <c r="AM848" s="442"/>
      <c r="AN848" s="442"/>
      <c r="AO848" s="442"/>
      <c r="AP848" s="442"/>
      <c r="AQ848" s="442"/>
      <c r="AR848" s="442"/>
      <c r="AS848" s="442"/>
      <c r="AT848" s="443"/>
    </row>
    <row r="849" spans="3:46" ht="12.75" thickBot="1" x14ac:dyDescent="0.45">
      <c r="C849" s="992"/>
      <c r="D849" s="993"/>
      <c r="E849" s="993"/>
      <c r="F849" s="993"/>
      <c r="G849" s="993"/>
      <c r="H849" s="993"/>
      <c r="I849" s="993"/>
      <c r="J849" s="993"/>
      <c r="K849" s="993"/>
      <c r="L849" s="993"/>
      <c r="M849" s="993"/>
      <c r="N849" s="993"/>
      <c r="O849" s="993"/>
      <c r="P849" s="993"/>
      <c r="Q849" s="993"/>
      <c r="R849" s="993"/>
      <c r="S849" s="993"/>
      <c r="T849" s="993"/>
      <c r="U849" s="977"/>
      <c r="V849" s="977"/>
      <c r="W849" s="643" t="s">
        <v>508</v>
      </c>
      <c r="X849" s="1090" t="str">
        <f>IF($AB$3="ON","↑","")</f>
        <v>↑</v>
      </c>
      <c r="Y849" s="977"/>
      <c r="Z849" s="977"/>
      <c r="AA849" s="993"/>
      <c r="AB849" s="993"/>
      <c r="AC849" s="993"/>
      <c r="AD849" s="993"/>
      <c r="AE849" s="993"/>
      <c r="AF849" s="993"/>
      <c r="AG849" s="993"/>
      <c r="AH849" s="993"/>
      <c r="AI849" s="993"/>
      <c r="AJ849" s="993"/>
      <c r="AK849" s="993"/>
      <c r="AL849" s="993"/>
      <c r="AM849" s="993"/>
      <c r="AN849" s="993"/>
      <c r="AO849" s="993"/>
      <c r="AP849" s="993"/>
      <c r="AQ849" s="993"/>
      <c r="AR849" s="993"/>
      <c r="AS849" s="993"/>
      <c r="AT849" s="994"/>
    </row>
  </sheetData>
  <mergeCells count="1">
    <mergeCell ref="AB3:AD3"/>
  </mergeCells>
  <phoneticPr fontId="2"/>
  <dataValidations count="1">
    <dataValidation type="list" allowBlank="1" showInputMessage="1" showErrorMessage="1" sqref="AB3:AD3" xr:uid="{615CEE66-189D-44A5-9F7F-284F58537F03}">
      <formula1>"ON,OFF"</formula1>
    </dataValidation>
  </dataValidations>
  <hyperlinks>
    <hyperlink ref="BJ21" r:id="rId1" xr:uid="{4CC3631E-D554-41E0-AAFC-3840369FB4A8}"/>
    <hyperlink ref="BJ61" r:id="rId2" xr:uid="{9D1DF36E-C393-4E50-A2D8-FC5EAAF73948}"/>
    <hyperlink ref="BJ83" r:id="rId3" xr:uid="{491852A4-CA56-45D2-9744-DABA4CE77D11}"/>
    <hyperlink ref="BJ133" r:id="rId4" xr:uid="{3FCBB2EA-96A6-4D14-8FF4-3D8F1F62818B}"/>
    <hyperlink ref="BJ159" r:id="rId5" xr:uid="{55A41907-2E05-4F5C-9064-4DF70E6B0720}"/>
    <hyperlink ref="BJ209" r:id="rId6" xr:uid="{11068ED4-7979-4146-A368-F044DE9B96AC}"/>
    <hyperlink ref="BJ235" r:id="rId7" xr:uid="{466421B7-3574-413C-B66E-071019E2F473}"/>
    <hyperlink ref="BJ257" r:id="rId8" xr:uid="{7784B5EE-BCA8-48DB-90DB-52504331AC7F}"/>
    <hyperlink ref="BJ285" r:id="rId9" xr:uid="{BF94BD27-87BE-4FB2-935D-2F6D7DADE754}"/>
    <hyperlink ref="BJ307" r:id="rId10" xr:uid="{D6B179ED-A343-4675-BF70-6C29BA07E13B}"/>
    <hyperlink ref="BJ357" r:id="rId11" xr:uid="{576281F2-D911-42C6-BD83-FAC8986687A1}"/>
    <hyperlink ref="BJ379" r:id="rId12" xr:uid="{8E9CCCDD-BA2F-4433-9EEC-7B2EC124B805}"/>
    <hyperlink ref="BJ399" r:id="rId13" xr:uid="{511D47D2-DCF7-43C7-9A20-993C4ECAD70D}"/>
    <hyperlink ref="BJ415" r:id="rId14" xr:uid="{CBC9ACEF-CC91-408A-B002-3830704C0335}"/>
    <hyperlink ref="BJ431" r:id="rId15" xr:uid="{79BE18F2-B0A2-4976-91D0-186F6164E6F0}"/>
    <hyperlink ref="BJ451" r:id="rId16" xr:uid="{8F64CF89-0913-429F-9897-A9222DB9B327}"/>
    <hyperlink ref="BJ479" r:id="rId17" xr:uid="{37F96985-9831-4A9E-BCE8-AA2ADE140AAF}"/>
    <hyperlink ref="BJ509" r:id="rId18" xr:uid="{B83C9C37-2B8F-4399-A56F-6DEAB80A887C}"/>
    <hyperlink ref="BJ543" r:id="rId19" xr:uid="{754685A4-321E-4294-8008-327E0C7C8CCF}"/>
    <hyperlink ref="BJ573" r:id="rId20" xr:uid="{4560DF65-189A-4376-A504-45A07BDAE45D}"/>
    <hyperlink ref="BJ595" r:id="rId21" xr:uid="{43C3685E-485F-44B7-A60D-7AFFB5721344}"/>
    <hyperlink ref="BJ623" r:id="rId22" xr:uid="{0F10A021-FAFA-4ACA-8072-13EFD490224A}"/>
    <hyperlink ref="BJ647" r:id="rId23" xr:uid="{7FAE9524-B723-42B7-A5B8-56326A9DA11F}"/>
    <hyperlink ref="BJ671" r:id="rId24" xr:uid="{94BC2A16-95A8-40B5-9FEB-0337F903EF66}"/>
    <hyperlink ref="BJ697" r:id="rId25" xr:uid="{893C8776-DD3F-4282-8D1D-2C6C4B8CE223}"/>
    <hyperlink ref="BJ727" r:id="rId26" xr:uid="{05039EB0-7394-442E-90B8-88A0CED05801}"/>
    <hyperlink ref="BJ749" r:id="rId27" xr:uid="{5E14C278-1D8B-4D63-973E-84E3BBB1B73D}"/>
    <hyperlink ref="BJ789" r:id="rId28" xr:uid="{E3945033-5FA1-4444-ABDA-7619C08935C6}"/>
    <hyperlink ref="BJ807" r:id="rId29" xr:uid="{0FCB2267-6E20-4165-BD6F-3B46F8DCD9A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59D2-3E01-497A-B0AC-057EB9201E66}">
  <sheetPr>
    <pageSetUpPr fitToPage="1"/>
  </sheetPr>
  <dimension ref="A1:CF101"/>
  <sheetViews>
    <sheetView showGridLines="0" topLeftCell="A26" zoomScale="85" zoomScaleNormal="85" workbookViewId="0"/>
  </sheetViews>
  <sheetFormatPr defaultRowHeight="15.75" x14ac:dyDescent="0.4"/>
  <cols>
    <col min="1" max="84" width="3" style="1" customWidth="1"/>
    <col min="85" max="16384" width="9" style="1"/>
  </cols>
  <sheetData>
    <row r="1" spans="1:84" ht="15" customHeight="1" x14ac:dyDescent="0.4">
      <c r="A1" s="2"/>
      <c r="B1" s="1150" t="s">
        <v>0</v>
      </c>
      <c r="C1" s="1150"/>
      <c r="D1" s="1150"/>
      <c r="E1" s="1150"/>
      <c r="F1" s="1150"/>
      <c r="G1" s="1150"/>
      <c r="H1" s="1150"/>
      <c r="I1" s="1150"/>
      <c r="J1" s="1150"/>
      <c r="K1" s="1150"/>
      <c r="L1" s="1150"/>
      <c r="M1" s="1150"/>
      <c r="N1" s="1150"/>
      <c r="O1" s="1150"/>
      <c r="P1" s="1150"/>
      <c r="Q1" s="1150"/>
      <c r="R1" s="1150"/>
      <c r="S1" s="1150"/>
      <c r="T1" s="1150"/>
      <c r="U1" s="1150"/>
      <c r="V1" s="1150"/>
      <c r="W1" s="1150"/>
      <c r="X1" s="1150"/>
      <c r="Y1" s="1150"/>
      <c r="Z1" s="1150"/>
      <c r="AA1" s="1150"/>
      <c r="AB1" s="1150"/>
      <c r="AC1" s="1150"/>
      <c r="AD1" s="1150"/>
      <c r="AE1" s="1150"/>
      <c r="AF1" s="1150"/>
      <c r="AG1" s="1150"/>
      <c r="AH1" s="1150"/>
      <c r="AI1" s="1150"/>
      <c r="AJ1" s="1150"/>
      <c r="AK1" s="1150"/>
      <c r="AL1" s="1150"/>
      <c r="AM1" s="1150"/>
      <c r="AN1" s="1150"/>
      <c r="AO1" s="1150"/>
      <c r="AP1" s="1150"/>
      <c r="AQ1" s="1150"/>
      <c r="AR1" s="1150"/>
      <c r="AS1" s="1150"/>
      <c r="AT1" s="1150"/>
      <c r="AU1" s="1150"/>
      <c r="AV1" s="1150"/>
      <c r="AW1" s="1150"/>
      <c r="AX1" s="1150"/>
      <c r="AY1" s="1150"/>
      <c r="AZ1" s="1150"/>
      <c r="BA1" s="1150"/>
      <c r="BB1" s="1150"/>
      <c r="BC1" s="1150"/>
      <c r="BD1" s="1150"/>
      <c r="BE1" s="1150"/>
      <c r="BF1" s="1150"/>
      <c r="BG1" s="1150"/>
      <c r="BH1" s="1150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ht="15" customHeight="1" x14ac:dyDescent="0.4">
      <c r="A2" s="2"/>
      <c r="B2" s="1150"/>
      <c r="C2" s="1150"/>
      <c r="D2" s="1150"/>
      <c r="E2" s="1150"/>
      <c r="F2" s="1150"/>
      <c r="G2" s="1150"/>
      <c r="H2" s="1150"/>
      <c r="I2" s="1150"/>
      <c r="J2" s="1150"/>
      <c r="K2" s="1150"/>
      <c r="L2" s="1150"/>
      <c r="M2" s="1150"/>
      <c r="N2" s="1150"/>
      <c r="O2" s="1150"/>
      <c r="P2" s="1150"/>
      <c r="Q2" s="1150"/>
      <c r="R2" s="1150"/>
      <c r="S2" s="1150"/>
      <c r="T2" s="1150"/>
      <c r="U2" s="1150"/>
      <c r="V2" s="1150"/>
      <c r="W2" s="1150"/>
      <c r="X2" s="1150"/>
      <c r="Y2" s="1150"/>
      <c r="Z2" s="1150"/>
      <c r="AA2" s="1150"/>
      <c r="AB2" s="1150"/>
      <c r="AC2" s="1150"/>
      <c r="AD2" s="1150"/>
      <c r="AE2" s="1150"/>
      <c r="AF2" s="1150"/>
      <c r="AG2" s="1150"/>
      <c r="AH2" s="1150"/>
      <c r="AI2" s="1150"/>
      <c r="AJ2" s="1150"/>
      <c r="AK2" s="1150"/>
      <c r="AL2" s="1150"/>
      <c r="AM2" s="1150"/>
      <c r="AN2" s="1150"/>
      <c r="AO2" s="1150"/>
      <c r="AP2" s="1150"/>
      <c r="AQ2" s="1150"/>
      <c r="AR2" s="1150"/>
      <c r="AS2" s="1150"/>
      <c r="AT2" s="1150"/>
      <c r="AU2" s="1150"/>
      <c r="AV2" s="1150"/>
      <c r="AW2" s="1150"/>
      <c r="AX2" s="1150"/>
      <c r="AY2" s="1150"/>
      <c r="AZ2" s="1150"/>
      <c r="BA2" s="1150"/>
      <c r="BB2" s="1150"/>
      <c r="BC2" s="1150"/>
      <c r="BD2" s="1150"/>
      <c r="BE2" s="1150"/>
      <c r="BF2" s="1150"/>
      <c r="BG2" s="1150"/>
      <c r="BH2" s="1150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ht="15" customHeight="1" x14ac:dyDescent="0.4">
      <c r="A3" s="2"/>
      <c r="B3" s="1151" t="s">
        <v>1</v>
      </c>
      <c r="C3" s="1151"/>
      <c r="D3" s="1151"/>
      <c r="E3" s="1151"/>
      <c r="F3" s="1151"/>
      <c r="G3" s="1151"/>
      <c r="H3" s="1151"/>
      <c r="I3" s="1151"/>
      <c r="J3" s="1151"/>
      <c r="K3" s="1151"/>
      <c r="L3" s="1151"/>
      <c r="M3" s="1151"/>
      <c r="N3" s="1151"/>
      <c r="O3" s="1151"/>
      <c r="P3" s="1151"/>
      <c r="Q3" s="1151"/>
      <c r="R3" s="1151"/>
      <c r="S3" s="1151"/>
      <c r="T3" s="1151"/>
      <c r="U3" s="1151"/>
      <c r="V3" s="1151"/>
      <c r="W3" s="1151"/>
      <c r="X3" s="1151"/>
      <c r="Y3" s="1151"/>
      <c r="Z3" s="1151"/>
      <c r="AA3" s="1151"/>
      <c r="AB3" s="1151"/>
      <c r="AC3" s="1151"/>
      <c r="AD3" s="1151"/>
      <c r="AE3" s="1151"/>
      <c r="AF3" s="1151"/>
      <c r="AG3" s="1151"/>
      <c r="AH3" s="1151"/>
      <c r="AI3" s="1151"/>
      <c r="AJ3" s="1151"/>
      <c r="AK3" s="1151"/>
      <c r="AL3" s="1151"/>
      <c r="AM3" s="1151"/>
      <c r="AN3" s="1151"/>
      <c r="AO3" s="1151"/>
      <c r="AP3" s="1151"/>
      <c r="AQ3" s="1151"/>
      <c r="AR3" s="1151"/>
      <c r="AS3" s="1151"/>
      <c r="AT3" s="1151"/>
      <c r="AU3" s="1151"/>
      <c r="AV3" s="1151"/>
      <c r="AW3" s="1151"/>
      <c r="AX3" s="1151"/>
      <c r="AY3" s="1151"/>
      <c r="AZ3" s="1151"/>
      <c r="BA3" s="1151"/>
      <c r="BB3" s="1151"/>
      <c r="BC3" s="1151"/>
      <c r="BD3" s="1151"/>
      <c r="BE3" s="1151"/>
      <c r="BF3" s="1151"/>
      <c r="BG3" s="1151"/>
      <c r="BH3" s="1151"/>
      <c r="BI3" s="1151"/>
      <c r="BJ3" s="1151"/>
      <c r="BK3" s="1151"/>
      <c r="BL3" s="1151"/>
      <c r="BM3" s="1151"/>
      <c r="BN3" s="1151"/>
      <c r="BO3" s="1151"/>
      <c r="BP3" s="1151"/>
      <c r="BQ3" s="1151"/>
      <c r="BR3" s="1151"/>
      <c r="BS3" s="1151"/>
      <c r="BT3" s="1151"/>
      <c r="BU3" s="1151"/>
      <c r="BV3" s="1151"/>
      <c r="BW3" s="1151"/>
      <c r="BX3" s="1151"/>
      <c r="BY3" s="1151"/>
      <c r="BZ3" s="1151"/>
      <c r="CA3" s="1151"/>
      <c r="CB3" s="1151"/>
      <c r="CC3" s="2"/>
      <c r="CD3" s="2"/>
      <c r="CE3" s="2"/>
      <c r="CF3" s="2"/>
    </row>
    <row r="4" spans="1:84" ht="1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 x14ac:dyDescent="0.4">
      <c r="A5" s="2"/>
      <c r="B5" s="1152" t="s">
        <v>2</v>
      </c>
      <c r="C5" s="1152"/>
      <c r="D5" s="1152"/>
      <c r="E5" s="1152"/>
      <c r="F5" s="1152"/>
      <c r="G5" s="1152"/>
      <c r="H5" s="1152"/>
      <c r="I5" s="1152"/>
      <c r="J5" s="2"/>
      <c r="K5" s="1153" t="s">
        <v>3</v>
      </c>
      <c r="L5" s="1153"/>
      <c r="M5" s="1153"/>
      <c r="N5" s="1153"/>
      <c r="O5" s="1153"/>
      <c r="P5" s="1153"/>
      <c r="Q5" s="1153"/>
      <c r="R5" s="1153"/>
      <c r="S5" s="2"/>
      <c r="T5" s="1154" t="s">
        <v>4</v>
      </c>
      <c r="U5" s="1154"/>
      <c r="V5" s="1154"/>
      <c r="W5" s="1154"/>
      <c r="X5" s="1154"/>
      <c r="Y5" s="1154"/>
      <c r="Z5" s="1154"/>
      <c r="AA5" s="1154"/>
      <c r="AB5" s="2"/>
      <c r="AC5" s="1155" t="s">
        <v>5</v>
      </c>
      <c r="AD5" s="1155"/>
      <c r="AE5" s="1155"/>
      <c r="AF5" s="1155"/>
      <c r="AG5" s="1155"/>
      <c r="AH5" s="1155"/>
      <c r="AI5" s="1155"/>
      <c r="AJ5" s="1155"/>
      <c r="AK5" s="2"/>
      <c r="AL5" s="1156" t="s">
        <v>6</v>
      </c>
      <c r="AM5" s="1156"/>
      <c r="AN5" s="1156"/>
      <c r="AO5" s="1156"/>
      <c r="AP5" s="1156"/>
      <c r="AQ5" s="1156"/>
      <c r="AR5" s="1156"/>
      <c r="AS5" s="1156"/>
      <c r="AT5" s="2"/>
      <c r="AU5" s="1157" t="s">
        <v>7</v>
      </c>
      <c r="AV5" s="1157"/>
      <c r="AW5" s="1157"/>
      <c r="AX5" s="1157"/>
      <c r="AY5" s="1157"/>
      <c r="AZ5" s="1157"/>
      <c r="BA5" s="1157"/>
      <c r="BB5" s="1157"/>
      <c r="BC5" s="2"/>
      <c r="BD5" s="1158" t="s">
        <v>8</v>
      </c>
      <c r="BE5" s="1158"/>
      <c r="BF5" s="1158"/>
      <c r="BG5" s="1158"/>
      <c r="BH5" s="1158"/>
      <c r="BI5" s="1158"/>
      <c r="BJ5" s="1158"/>
      <c r="BK5" s="1158"/>
      <c r="BL5" s="2"/>
      <c r="BM5" s="1159" t="s">
        <v>9</v>
      </c>
      <c r="BN5" s="1159"/>
      <c r="BO5" s="1159"/>
      <c r="BP5" s="1159"/>
      <c r="BQ5" s="1159"/>
      <c r="BR5" s="1159"/>
      <c r="BS5" s="1159"/>
      <c r="BT5" s="1159"/>
      <c r="BU5" s="2"/>
      <c r="BV5" s="1135" t="s">
        <v>10</v>
      </c>
      <c r="BW5" s="1135"/>
      <c r="BX5" s="1135"/>
      <c r="BY5" s="1135"/>
      <c r="BZ5" s="1135"/>
      <c r="CA5" s="1135"/>
      <c r="CB5" s="1135"/>
      <c r="CC5" s="1135"/>
      <c r="CD5" s="2"/>
      <c r="CE5" s="2"/>
      <c r="CF5" s="2"/>
    </row>
    <row r="6" spans="1:84" ht="15" customHeight="1" x14ac:dyDescent="0.4">
      <c r="A6" s="2"/>
      <c r="B6" s="1152"/>
      <c r="C6" s="1152"/>
      <c r="D6" s="1152"/>
      <c r="E6" s="1152"/>
      <c r="F6" s="1152"/>
      <c r="G6" s="1152"/>
      <c r="H6" s="1152"/>
      <c r="I6" s="1152"/>
      <c r="J6" s="2"/>
      <c r="K6" s="1153"/>
      <c r="L6" s="1153"/>
      <c r="M6" s="1153"/>
      <c r="N6" s="1153"/>
      <c r="O6" s="1153"/>
      <c r="P6" s="1153"/>
      <c r="Q6" s="1153"/>
      <c r="R6" s="1153"/>
      <c r="S6" s="2"/>
      <c r="T6" s="1154"/>
      <c r="U6" s="1154"/>
      <c r="V6" s="1154"/>
      <c r="W6" s="1154"/>
      <c r="X6" s="1154"/>
      <c r="Y6" s="1154"/>
      <c r="Z6" s="1154"/>
      <c r="AA6" s="1154"/>
      <c r="AB6" s="2"/>
      <c r="AC6" s="1155"/>
      <c r="AD6" s="1155"/>
      <c r="AE6" s="1155"/>
      <c r="AF6" s="1155"/>
      <c r="AG6" s="1155"/>
      <c r="AH6" s="1155"/>
      <c r="AI6" s="1155"/>
      <c r="AJ6" s="1155"/>
      <c r="AK6" s="2"/>
      <c r="AL6" s="1156"/>
      <c r="AM6" s="1156"/>
      <c r="AN6" s="1156"/>
      <c r="AO6" s="1156"/>
      <c r="AP6" s="1156"/>
      <c r="AQ6" s="1156"/>
      <c r="AR6" s="1156"/>
      <c r="AS6" s="1156"/>
      <c r="AT6" s="2"/>
      <c r="AU6" s="1157"/>
      <c r="AV6" s="1157"/>
      <c r="AW6" s="1157"/>
      <c r="AX6" s="1157"/>
      <c r="AY6" s="1157"/>
      <c r="AZ6" s="1157"/>
      <c r="BA6" s="1157"/>
      <c r="BB6" s="1157"/>
      <c r="BC6" s="2"/>
      <c r="BD6" s="1158"/>
      <c r="BE6" s="1158"/>
      <c r="BF6" s="1158"/>
      <c r="BG6" s="1158"/>
      <c r="BH6" s="1158"/>
      <c r="BI6" s="1158"/>
      <c r="BJ6" s="1158"/>
      <c r="BK6" s="1158"/>
      <c r="BL6" s="2"/>
      <c r="BM6" s="1159"/>
      <c r="BN6" s="1159"/>
      <c r="BO6" s="1159"/>
      <c r="BP6" s="1159"/>
      <c r="BQ6" s="1159"/>
      <c r="BR6" s="1159"/>
      <c r="BS6" s="1159"/>
      <c r="BT6" s="1159"/>
      <c r="BU6" s="2"/>
      <c r="BV6" s="1135"/>
      <c r="BW6" s="1135"/>
      <c r="BX6" s="1135"/>
      <c r="BY6" s="1135"/>
      <c r="BZ6" s="1135"/>
      <c r="CA6" s="1135"/>
      <c r="CB6" s="1135"/>
      <c r="CC6" s="1135"/>
      <c r="CD6" s="2"/>
      <c r="CE6" s="2"/>
      <c r="CF6" s="2"/>
    </row>
    <row r="7" spans="1:84" ht="15" customHeight="1" x14ac:dyDescent="0.4">
      <c r="A7" s="2"/>
      <c r="B7" s="1136" t="s">
        <v>11</v>
      </c>
      <c r="C7" s="1136"/>
      <c r="D7" s="1136"/>
      <c r="E7" s="1136"/>
      <c r="F7" s="1136"/>
      <c r="G7" s="1136"/>
      <c r="H7" s="1136"/>
      <c r="I7" s="1136"/>
      <c r="J7" s="1136"/>
      <c r="K7" s="1136"/>
      <c r="L7" s="1136"/>
      <c r="M7" s="1136"/>
      <c r="N7" s="1136"/>
      <c r="O7" s="1136"/>
      <c r="P7" s="1136"/>
      <c r="Q7" s="1136"/>
      <c r="R7" s="1136"/>
      <c r="S7" s="1136"/>
      <c r="T7" s="1136"/>
      <c r="U7" s="1136"/>
      <c r="V7" s="1136"/>
      <c r="W7" s="1136"/>
      <c r="X7" s="1136"/>
      <c r="Y7" s="1136"/>
      <c r="Z7" s="1136"/>
      <c r="AA7" s="1136"/>
      <c r="AB7" s="1136"/>
      <c r="AC7" s="1136"/>
      <c r="AD7" s="1136"/>
      <c r="AE7" s="1136"/>
      <c r="AF7" s="1136"/>
      <c r="AG7" s="1136"/>
      <c r="AH7" s="1136"/>
      <c r="AI7" s="1136"/>
      <c r="AJ7" s="1136"/>
      <c r="AK7" s="1136"/>
      <c r="AL7" s="1136"/>
      <c r="AM7" s="1136"/>
      <c r="AN7" s="1136"/>
      <c r="AO7" s="1136"/>
      <c r="AP7" s="1136"/>
      <c r="AQ7" s="1136"/>
      <c r="AR7" s="1136"/>
      <c r="AS7" s="1136"/>
      <c r="AT7" s="1136"/>
      <c r="AU7" s="1136"/>
      <c r="AV7" s="1136"/>
      <c r="AW7" s="1136"/>
      <c r="AX7" s="1136"/>
      <c r="AY7" s="1136"/>
      <c r="AZ7" s="1136"/>
      <c r="BA7" s="1136"/>
      <c r="BB7" s="1136"/>
      <c r="BC7" s="1136"/>
      <c r="BD7" s="1136"/>
      <c r="BE7" s="1136"/>
      <c r="BF7" s="1136"/>
      <c r="BG7" s="1136"/>
      <c r="BH7" s="1136"/>
      <c r="BI7" s="1136"/>
      <c r="BJ7" s="1136"/>
      <c r="BK7" s="1136"/>
      <c r="BL7" s="1136"/>
      <c r="BM7" s="1136"/>
      <c r="BN7" s="1136"/>
      <c r="BO7" s="1136"/>
      <c r="BP7" s="1136"/>
      <c r="BQ7" s="1136"/>
      <c r="BR7" s="1136"/>
      <c r="BS7" s="1136"/>
      <c r="BT7" s="1136"/>
      <c r="BU7" s="1136"/>
      <c r="BV7" s="1136"/>
      <c r="BW7" s="1136"/>
      <c r="BX7" s="1136"/>
      <c r="BY7" s="1136"/>
      <c r="BZ7" s="1136"/>
      <c r="CA7" s="1136"/>
      <c r="CB7" s="1136"/>
      <c r="CC7" s="2"/>
      <c r="CD7" s="2"/>
      <c r="CE7" s="2"/>
      <c r="CF7" s="2"/>
    </row>
    <row r="8" spans="1:84" ht="15" customHeight="1" thickBot="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 ht="15" customHeight="1" x14ac:dyDescent="0.4">
      <c r="A9" s="2"/>
      <c r="B9" s="1137" t="s">
        <v>12</v>
      </c>
      <c r="C9" s="1137"/>
      <c r="D9" s="1137"/>
      <c r="E9" s="1137"/>
      <c r="F9" s="1137"/>
      <c r="G9" s="1138"/>
      <c r="H9" s="2"/>
      <c r="I9" s="2"/>
      <c r="J9" s="1107" t="s">
        <v>15</v>
      </c>
      <c r="K9" s="1108"/>
      <c r="L9" s="1108"/>
      <c r="M9" s="1108"/>
      <c r="N9" s="1108"/>
      <c r="O9" s="1108"/>
      <c r="P9" s="1108"/>
      <c r="Q9" s="1108"/>
      <c r="R9" s="1108"/>
      <c r="S9" s="1108"/>
      <c r="T9" s="1108"/>
      <c r="U9" s="1108"/>
      <c r="V9" s="1108"/>
      <c r="W9" s="1108"/>
      <c r="X9" s="1108"/>
      <c r="Y9" s="1108"/>
      <c r="Z9" s="1108"/>
      <c r="AA9" s="1108"/>
      <c r="AB9" s="1108"/>
      <c r="AC9" s="1109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1:84" ht="15" customHeight="1" x14ac:dyDescent="0.4">
      <c r="A10" s="2"/>
      <c r="B10" s="1137"/>
      <c r="C10" s="1137"/>
      <c r="D10" s="1137"/>
      <c r="E10" s="1137"/>
      <c r="F10" s="1137"/>
      <c r="G10" s="1138"/>
      <c r="H10" s="2"/>
      <c r="I10" s="2"/>
      <c r="J10" s="1110"/>
      <c r="K10" s="1111"/>
      <c r="L10" s="1111"/>
      <c r="M10" s="1111"/>
      <c r="N10" s="1111"/>
      <c r="O10" s="1111"/>
      <c r="P10" s="1111"/>
      <c r="Q10" s="1111"/>
      <c r="R10" s="1111"/>
      <c r="S10" s="1111"/>
      <c r="T10" s="1111"/>
      <c r="U10" s="1111"/>
      <c r="V10" s="1111"/>
      <c r="W10" s="1111"/>
      <c r="X10" s="1111"/>
      <c r="Y10" s="1111"/>
      <c r="Z10" s="1111"/>
      <c r="AA10" s="1111"/>
      <c r="AB10" s="1111"/>
      <c r="AC10" s="111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ht="15" customHeight="1" x14ac:dyDescent="0.4">
      <c r="A11" s="2"/>
      <c r="B11" s="1137"/>
      <c r="C11" s="1137"/>
      <c r="D11" s="1137"/>
      <c r="E11" s="1137"/>
      <c r="F11" s="1137"/>
      <c r="G11" s="1138"/>
      <c r="H11" s="2"/>
      <c r="I11" s="2"/>
      <c r="J11" s="1101" t="s">
        <v>16</v>
      </c>
      <c r="K11" s="1102"/>
      <c r="L11" s="1102"/>
      <c r="M11" s="1102"/>
      <c r="N11" s="1102"/>
      <c r="O11" s="1102"/>
      <c r="P11" s="1102"/>
      <c r="Q11" s="1102"/>
      <c r="R11" s="1102"/>
      <c r="S11" s="1102"/>
      <c r="T11" s="1102"/>
      <c r="U11" s="1102"/>
      <c r="V11" s="1102"/>
      <c r="W11" s="1102"/>
      <c r="X11" s="1102"/>
      <c r="Y11" s="1102"/>
      <c r="Z11" s="1102"/>
      <c r="AA11" s="1102"/>
      <c r="AB11" s="1102"/>
      <c r="AC11" s="1103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 ht="15" customHeight="1" x14ac:dyDescent="0.4">
      <c r="A12" s="2"/>
      <c r="B12" s="1137"/>
      <c r="C12" s="1137"/>
      <c r="D12" s="1137"/>
      <c r="E12" s="1137"/>
      <c r="F12" s="1137"/>
      <c r="G12" s="1138"/>
      <c r="H12" s="2"/>
      <c r="I12" s="2"/>
      <c r="J12" s="1101"/>
      <c r="K12" s="1102"/>
      <c r="L12" s="1102"/>
      <c r="M12" s="1102"/>
      <c r="N12" s="1102"/>
      <c r="O12" s="1102"/>
      <c r="P12" s="1102"/>
      <c r="Q12" s="1102"/>
      <c r="R12" s="1102"/>
      <c r="S12" s="1102"/>
      <c r="T12" s="1102"/>
      <c r="U12" s="1102"/>
      <c r="V12" s="1102"/>
      <c r="W12" s="1102"/>
      <c r="X12" s="1102"/>
      <c r="Y12" s="1102"/>
      <c r="Z12" s="1102"/>
      <c r="AA12" s="1102"/>
      <c r="AB12" s="1102"/>
      <c r="AC12" s="1103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 ht="15" customHeight="1" x14ac:dyDescent="0.4">
      <c r="A13" s="2"/>
      <c r="B13" s="1137"/>
      <c r="C13" s="1137"/>
      <c r="D13" s="1137"/>
      <c r="E13" s="1137"/>
      <c r="F13" s="1137"/>
      <c r="G13" s="1138"/>
      <c r="H13" s="2"/>
      <c r="I13" s="2"/>
      <c r="J13" s="1101"/>
      <c r="K13" s="1102"/>
      <c r="L13" s="1102"/>
      <c r="M13" s="1102"/>
      <c r="N13" s="1102"/>
      <c r="O13" s="1102"/>
      <c r="P13" s="1102"/>
      <c r="Q13" s="1102"/>
      <c r="R13" s="1102"/>
      <c r="S13" s="1102"/>
      <c r="T13" s="1102"/>
      <c r="U13" s="1102"/>
      <c r="V13" s="1102"/>
      <c r="W13" s="1102"/>
      <c r="X13" s="1102"/>
      <c r="Y13" s="1102"/>
      <c r="Z13" s="1102"/>
      <c r="AA13" s="1102"/>
      <c r="AB13" s="1102"/>
      <c r="AC13" s="1103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spans="1:84" ht="15" customHeight="1" x14ac:dyDescent="0.4">
      <c r="A14" s="2"/>
      <c r="B14" s="1137"/>
      <c r="C14" s="1137"/>
      <c r="D14" s="1137"/>
      <c r="E14" s="1137"/>
      <c r="F14" s="1137"/>
      <c r="G14" s="1138"/>
      <c r="H14" s="2"/>
      <c r="I14" s="2"/>
      <c r="J14" s="1101"/>
      <c r="K14" s="1102"/>
      <c r="L14" s="1102"/>
      <c r="M14" s="1102"/>
      <c r="N14" s="1102"/>
      <c r="O14" s="1102"/>
      <c r="P14" s="1102"/>
      <c r="Q14" s="1102"/>
      <c r="R14" s="1102"/>
      <c r="S14" s="1102"/>
      <c r="T14" s="1102"/>
      <c r="U14" s="1102"/>
      <c r="V14" s="1102"/>
      <c r="W14" s="1102"/>
      <c r="X14" s="1102"/>
      <c r="Y14" s="1102"/>
      <c r="Z14" s="1102"/>
      <c r="AA14" s="1102"/>
      <c r="AB14" s="1102"/>
      <c r="AC14" s="1103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</row>
    <row r="15" spans="1:84" ht="15" customHeight="1" thickBot="1" x14ac:dyDescent="0.45">
      <c r="A15" s="2"/>
      <c r="B15" s="1137"/>
      <c r="C15" s="1137"/>
      <c r="D15" s="1137"/>
      <c r="E15" s="1137"/>
      <c r="F15" s="1137"/>
      <c r="G15" s="1138"/>
      <c r="H15" s="2"/>
      <c r="I15" s="2"/>
      <c r="J15" s="1104"/>
      <c r="K15" s="1105"/>
      <c r="L15" s="1105"/>
      <c r="M15" s="1105"/>
      <c r="N15" s="1105"/>
      <c r="O15" s="1105"/>
      <c r="P15" s="1105"/>
      <c r="Q15" s="1105"/>
      <c r="R15" s="1105"/>
      <c r="S15" s="1105"/>
      <c r="T15" s="1105"/>
      <c r="U15" s="1105"/>
      <c r="V15" s="1105"/>
      <c r="W15" s="1105"/>
      <c r="X15" s="1105"/>
      <c r="Y15" s="1105"/>
      <c r="Z15" s="1105"/>
      <c r="AA15" s="1105"/>
      <c r="AB15" s="1105"/>
      <c r="AC15" s="1106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1:84" ht="15" customHeight="1" x14ac:dyDescent="0.4">
      <c r="A16" s="2"/>
      <c r="B16" s="1137"/>
      <c r="C16" s="1137"/>
      <c r="D16" s="1137"/>
      <c r="E16" s="1137"/>
      <c r="F16" s="1137"/>
      <c r="G16" s="113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1:84" ht="15" customHeight="1" thickBot="1" x14ac:dyDescent="0.45">
      <c r="A17" s="2"/>
      <c r="B17" s="1137"/>
      <c r="C17" s="1137"/>
      <c r="D17" s="1137"/>
      <c r="E17" s="1137"/>
      <c r="F17" s="1137"/>
      <c r="G17" s="113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 ht="15" customHeight="1" x14ac:dyDescent="0.4">
      <c r="A18" s="2"/>
      <c r="B18" s="1137"/>
      <c r="C18" s="1137"/>
      <c r="D18" s="1137"/>
      <c r="E18" s="1137"/>
      <c r="F18" s="1137"/>
      <c r="G18" s="1138"/>
      <c r="H18" s="2"/>
      <c r="I18" s="2"/>
      <c r="J18" s="1139" t="s">
        <v>17</v>
      </c>
      <c r="K18" s="1140"/>
      <c r="L18" s="1140"/>
      <c r="M18" s="1140"/>
      <c r="N18" s="1140"/>
      <c r="O18" s="1140"/>
      <c r="P18" s="1140"/>
      <c r="Q18" s="1140"/>
      <c r="R18" s="1140"/>
      <c r="S18" s="1140"/>
      <c r="T18" s="1140"/>
      <c r="U18" s="1140"/>
      <c r="V18" s="1140"/>
      <c r="W18" s="1140"/>
      <c r="X18" s="1140"/>
      <c r="Y18" s="1140"/>
      <c r="Z18" s="1140"/>
      <c r="AA18" s="1140"/>
      <c r="AB18" s="1140"/>
      <c r="AC18" s="1141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1:84" ht="15" customHeight="1" x14ac:dyDescent="0.4">
      <c r="A19" s="2"/>
      <c r="B19" s="1137"/>
      <c r="C19" s="1137"/>
      <c r="D19" s="1137"/>
      <c r="E19" s="1137"/>
      <c r="F19" s="1137"/>
      <c r="G19" s="1138"/>
      <c r="H19" s="2"/>
      <c r="I19" s="2"/>
      <c r="J19" s="1142"/>
      <c r="K19" s="1143"/>
      <c r="L19" s="1143"/>
      <c r="M19" s="1143"/>
      <c r="N19" s="1143"/>
      <c r="O19" s="1143"/>
      <c r="P19" s="1143"/>
      <c r="Q19" s="1143"/>
      <c r="R19" s="1143"/>
      <c r="S19" s="1143"/>
      <c r="T19" s="1143"/>
      <c r="U19" s="1143"/>
      <c r="V19" s="1143"/>
      <c r="W19" s="1143"/>
      <c r="X19" s="1143"/>
      <c r="Y19" s="1143"/>
      <c r="Z19" s="1143"/>
      <c r="AA19" s="1143"/>
      <c r="AB19" s="1143"/>
      <c r="AC19" s="114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1:84" ht="15" customHeight="1" x14ac:dyDescent="0.4">
      <c r="A20" s="2"/>
      <c r="B20" s="1137"/>
      <c r="C20" s="1137"/>
      <c r="D20" s="1137"/>
      <c r="E20" s="1137"/>
      <c r="F20" s="1137"/>
      <c r="G20" s="1138"/>
      <c r="H20" s="2"/>
      <c r="I20" s="2"/>
      <c r="J20" s="1145" t="s">
        <v>18</v>
      </c>
      <c r="K20" s="1102"/>
      <c r="L20" s="1102"/>
      <c r="M20" s="1102"/>
      <c r="N20" s="1102"/>
      <c r="O20" s="1102"/>
      <c r="P20" s="1102"/>
      <c r="Q20" s="1102"/>
      <c r="R20" s="1102"/>
      <c r="S20" s="1102"/>
      <c r="T20" s="1102"/>
      <c r="U20" s="1102"/>
      <c r="V20" s="1102"/>
      <c r="W20" s="1102"/>
      <c r="X20" s="1102"/>
      <c r="Y20" s="1102"/>
      <c r="Z20" s="1102"/>
      <c r="AA20" s="1102"/>
      <c r="AB20" s="1102"/>
      <c r="AC20" s="1146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 ht="15" customHeight="1" x14ac:dyDescent="0.4">
      <c r="A21" s="2"/>
      <c r="B21" s="1137"/>
      <c r="C21" s="1137"/>
      <c r="D21" s="1137"/>
      <c r="E21" s="1137"/>
      <c r="F21" s="1137"/>
      <c r="G21" s="1138"/>
      <c r="H21" s="2"/>
      <c r="I21" s="2"/>
      <c r="J21" s="1145"/>
      <c r="K21" s="1102"/>
      <c r="L21" s="1102"/>
      <c r="M21" s="1102"/>
      <c r="N21" s="1102"/>
      <c r="O21" s="1102"/>
      <c r="P21" s="1102"/>
      <c r="Q21" s="1102"/>
      <c r="R21" s="1102"/>
      <c r="S21" s="1102"/>
      <c r="T21" s="1102"/>
      <c r="U21" s="1102"/>
      <c r="V21" s="1102"/>
      <c r="W21" s="1102"/>
      <c r="X21" s="1102"/>
      <c r="Y21" s="1102"/>
      <c r="Z21" s="1102"/>
      <c r="AA21" s="1102"/>
      <c r="AB21" s="1102"/>
      <c r="AC21" s="1146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 ht="15" customHeight="1" x14ac:dyDescent="0.4">
      <c r="A22" s="2"/>
      <c r="B22" s="1137"/>
      <c r="C22" s="1137"/>
      <c r="D22" s="1137"/>
      <c r="E22" s="1137"/>
      <c r="F22" s="1137"/>
      <c r="G22" s="1138"/>
      <c r="H22" s="2"/>
      <c r="I22" s="2"/>
      <c r="J22" s="1145"/>
      <c r="K22" s="1102"/>
      <c r="L22" s="1102"/>
      <c r="M22" s="1102"/>
      <c r="N22" s="1102"/>
      <c r="O22" s="1102"/>
      <c r="P22" s="1102"/>
      <c r="Q22" s="1102"/>
      <c r="R22" s="1102"/>
      <c r="S22" s="1102"/>
      <c r="T22" s="1102"/>
      <c r="U22" s="1102"/>
      <c r="V22" s="1102"/>
      <c r="W22" s="1102"/>
      <c r="X22" s="1102"/>
      <c r="Y22" s="1102"/>
      <c r="Z22" s="1102"/>
      <c r="AA22" s="1102"/>
      <c r="AB22" s="1102"/>
      <c r="AC22" s="1146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ht="15" customHeight="1" x14ac:dyDescent="0.4">
      <c r="A23" s="2"/>
      <c r="B23" s="1137"/>
      <c r="C23" s="1137"/>
      <c r="D23" s="1137"/>
      <c r="E23" s="1137"/>
      <c r="F23" s="1137"/>
      <c r="G23" s="1138"/>
      <c r="H23" s="2"/>
      <c r="I23" s="2"/>
      <c r="J23" s="1145"/>
      <c r="K23" s="1102"/>
      <c r="L23" s="1102"/>
      <c r="M23" s="1102"/>
      <c r="N23" s="1102"/>
      <c r="O23" s="1102"/>
      <c r="P23" s="1102"/>
      <c r="Q23" s="1102"/>
      <c r="R23" s="1102"/>
      <c r="S23" s="1102"/>
      <c r="T23" s="1102"/>
      <c r="U23" s="1102"/>
      <c r="V23" s="1102"/>
      <c r="W23" s="1102"/>
      <c r="X23" s="1102"/>
      <c r="Y23" s="1102"/>
      <c r="Z23" s="1102"/>
      <c r="AA23" s="1102"/>
      <c r="AB23" s="1102"/>
      <c r="AC23" s="1146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ht="15" customHeight="1" thickBot="1" x14ac:dyDescent="0.45">
      <c r="A24" s="2"/>
      <c r="B24" s="1137"/>
      <c r="C24" s="1137"/>
      <c r="D24" s="1137"/>
      <c r="E24" s="1137"/>
      <c r="F24" s="1137"/>
      <c r="G24" s="1138"/>
      <c r="H24" s="2"/>
      <c r="I24" s="2"/>
      <c r="J24" s="1147"/>
      <c r="K24" s="1148"/>
      <c r="L24" s="1148"/>
      <c r="M24" s="1148"/>
      <c r="N24" s="1148"/>
      <c r="O24" s="1148"/>
      <c r="P24" s="1148"/>
      <c r="Q24" s="1148"/>
      <c r="R24" s="1148"/>
      <c r="S24" s="1148"/>
      <c r="T24" s="1148"/>
      <c r="U24" s="1148"/>
      <c r="V24" s="1148"/>
      <c r="W24" s="1148"/>
      <c r="X24" s="1148"/>
      <c r="Y24" s="1148"/>
      <c r="Z24" s="1148"/>
      <c r="AA24" s="1148"/>
      <c r="AB24" s="1148"/>
      <c r="AC24" s="1149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ht="15" customHeight="1" x14ac:dyDescent="0.4">
      <c r="A25" s="2"/>
      <c r="B25" s="1137"/>
      <c r="C25" s="1137"/>
      <c r="D25" s="1137"/>
      <c r="E25" s="1137"/>
      <c r="F25" s="1137"/>
      <c r="G25" s="113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ht="15" customHeight="1" thickBot="1" x14ac:dyDescent="0.45">
      <c r="A26" s="2"/>
      <c r="B26" s="1137"/>
      <c r="C26" s="1137"/>
      <c r="D26" s="1137"/>
      <c r="E26" s="1137"/>
      <c r="F26" s="1137"/>
      <c r="G26" s="113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ht="15" customHeight="1" x14ac:dyDescent="0.4">
      <c r="A27" s="2"/>
      <c r="B27" s="1137"/>
      <c r="C27" s="1137"/>
      <c r="D27" s="1137"/>
      <c r="E27" s="1137"/>
      <c r="F27" s="1137"/>
      <c r="G27" s="1138"/>
      <c r="H27" s="2"/>
      <c r="I27" s="2"/>
      <c r="J27" s="1139" t="s">
        <v>19</v>
      </c>
      <c r="K27" s="1140"/>
      <c r="L27" s="1140"/>
      <c r="M27" s="1140"/>
      <c r="N27" s="1140"/>
      <c r="O27" s="1140"/>
      <c r="P27" s="1140"/>
      <c r="Q27" s="1140"/>
      <c r="R27" s="1140"/>
      <c r="S27" s="1140"/>
      <c r="T27" s="1140"/>
      <c r="U27" s="1140"/>
      <c r="V27" s="1140"/>
      <c r="W27" s="1140"/>
      <c r="X27" s="1140"/>
      <c r="Y27" s="1140"/>
      <c r="Z27" s="1140"/>
      <c r="AA27" s="1140"/>
      <c r="AB27" s="1140"/>
      <c r="AC27" s="1141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ht="15" customHeight="1" x14ac:dyDescent="0.4">
      <c r="A28" s="2"/>
      <c r="B28" s="1137"/>
      <c r="C28" s="1137"/>
      <c r="D28" s="1137"/>
      <c r="E28" s="1137"/>
      <c r="F28" s="1137"/>
      <c r="G28" s="1138"/>
      <c r="H28" s="2"/>
      <c r="I28" s="2"/>
      <c r="J28" s="1142"/>
      <c r="K28" s="1143"/>
      <c r="L28" s="1143"/>
      <c r="M28" s="1143"/>
      <c r="N28" s="1143"/>
      <c r="O28" s="1143"/>
      <c r="P28" s="1143"/>
      <c r="Q28" s="1143"/>
      <c r="R28" s="1143"/>
      <c r="S28" s="1143"/>
      <c r="T28" s="1143"/>
      <c r="U28" s="1143"/>
      <c r="V28" s="1143"/>
      <c r="W28" s="1143"/>
      <c r="X28" s="1143"/>
      <c r="Y28" s="1143"/>
      <c r="Z28" s="1143"/>
      <c r="AA28" s="1143"/>
      <c r="AB28" s="1143"/>
      <c r="AC28" s="1144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ht="15" customHeight="1" x14ac:dyDescent="0.4">
      <c r="A29" s="2"/>
      <c r="B29" s="1137"/>
      <c r="C29" s="1137"/>
      <c r="D29" s="1137"/>
      <c r="E29" s="1137"/>
      <c r="F29" s="1137"/>
      <c r="G29" s="1138"/>
      <c r="H29" s="2"/>
      <c r="I29" s="2"/>
      <c r="J29" s="1145" t="s">
        <v>20</v>
      </c>
      <c r="K29" s="1102"/>
      <c r="L29" s="1102"/>
      <c r="M29" s="1102"/>
      <c r="N29" s="1102"/>
      <c r="O29" s="1102"/>
      <c r="P29" s="1102"/>
      <c r="Q29" s="1102"/>
      <c r="R29" s="1102"/>
      <c r="S29" s="1102"/>
      <c r="T29" s="1102"/>
      <c r="U29" s="1102"/>
      <c r="V29" s="1102"/>
      <c r="W29" s="1102"/>
      <c r="X29" s="1102"/>
      <c r="Y29" s="1102"/>
      <c r="Z29" s="1102"/>
      <c r="AA29" s="1102"/>
      <c r="AB29" s="1102"/>
      <c r="AC29" s="1146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ht="15" customHeight="1" x14ac:dyDescent="0.4">
      <c r="A30" s="2"/>
      <c r="B30" s="1137"/>
      <c r="C30" s="1137"/>
      <c r="D30" s="1137"/>
      <c r="E30" s="1137"/>
      <c r="F30" s="1137"/>
      <c r="G30" s="1138"/>
      <c r="H30" s="2"/>
      <c r="I30" s="2"/>
      <c r="J30" s="1145"/>
      <c r="K30" s="1102"/>
      <c r="L30" s="1102"/>
      <c r="M30" s="1102"/>
      <c r="N30" s="1102"/>
      <c r="O30" s="1102"/>
      <c r="P30" s="1102"/>
      <c r="Q30" s="1102"/>
      <c r="R30" s="1102"/>
      <c r="S30" s="1102"/>
      <c r="T30" s="1102"/>
      <c r="U30" s="1102"/>
      <c r="V30" s="1102"/>
      <c r="W30" s="1102"/>
      <c r="X30" s="1102"/>
      <c r="Y30" s="1102"/>
      <c r="Z30" s="1102"/>
      <c r="AA30" s="1102"/>
      <c r="AB30" s="1102"/>
      <c r="AC30" s="1146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ht="15" customHeight="1" x14ac:dyDescent="0.4">
      <c r="A31" s="2"/>
      <c r="B31" s="1137"/>
      <c r="C31" s="1137"/>
      <c r="D31" s="1137"/>
      <c r="E31" s="1137"/>
      <c r="F31" s="1137"/>
      <c r="G31" s="1138"/>
      <c r="H31" s="2"/>
      <c r="I31" s="2"/>
      <c r="J31" s="1145"/>
      <c r="K31" s="1102"/>
      <c r="L31" s="1102"/>
      <c r="M31" s="1102"/>
      <c r="N31" s="1102"/>
      <c r="O31" s="1102"/>
      <c r="P31" s="1102"/>
      <c r="Q31" s="1102"/>
      <c r="R31" s="1102"/>
      <c r="S31" s="1102"/>
      <c r="T31" s="1102"/>
      <c r="U31" s="1102"/>
      <c r="V31" s="1102"/>
      <c r="W31" s="1102"/>
      <c r="X31" s="1102"/>
      <c r="Y31" s="1102"/>
      <c r="Z31" s="1102"/>
      <c r="AA31" s="1102"/>
      <c r="AB31" s="1102"/>
      <c r="AC31" s="1146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ht="15" customHeight="1" x14ac:dyDescent="0.4">
      <c r="A32" s="2"/>
      <c r="B32" s="1137"/>
      <c r="C32" s="1137"/>
      <c r="D32" s="1137"/>
      <c r="E32" s="1137"/>
      <c r="F32" s="1137"/>
      <c r="G32" s="1138"/>
      <c r="H32" s="2"/>
      <c r="I32" s="2"/>
      <c r="J32" s="1145"/>
      <c r="K32" s="1102"/>
      <c r="L32" s="1102"/>
      <c r="M32" s="1102"/>
      <c r="N32" s="1102"/>
      <c r="O32" s="1102"/>
      <c r="P32" s="1102"/>
      <c r="Q32" s="1102"/>
      <c r="R32" s="1102"/>
      <c r="S32" s="1102"/>
      <c r="T32" s="1102"/>
      <c r="U32" s="1102"/>
      <c r="V32" s="1102"/>
      <c r="W32" s="1102"/>
      <c r="X32" s="1102"/>
      <c r="Y32" s="1102"/>
      <c r="Z32" s="1102"/>
      <c r="AA32" s="1102"/>
      <c r="AB32" s="1102"/>
      <c r="AC32" s="114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ht="15" customHeight="1" thickBot="1" x14ac:dyDescent="0.45">
      <c r="A33" s="2"/>
      <c r="B33" s="1137"/>
      <c r="C33" s="1137"/>
      <c r="D33" s="1137"/>
      <c r="E33" s="1137"/>
      <c r="F33" s="1137"/>
      <c r="G33" s="1138"/>
      <c r="H33" s="2"/>
      <c r="I33" s="2"/>
      <c r="J33" s="1147"/>
      <c r="K33" s="1148"/>
      <c r="L33" s="1148"/>
      <c r="M33" s="1148"/>
      <c r="N33" s="1148"/>
      <c r="O33" s="1148"/>
      <c r="P33" s="1148"/>
      <c r="Q33" s="1148"/>
      <c r="R33" s="1148"/>
      <c r="S33" s="1148"/>
      <c r="T33" s="1148"/>
      <c r="U33" s="1148"/>
      <c r="V33" s="1148"/>
      <c r="W33" s="1148"/>
      <c r="X33" s="1148"/>
      <c r="Y33" s="1148"/>
      <c r="Z33" s="1148"/>
      <c r="AA33" s="1148"/>
      <c r="AB33" s="1148"/>
      <c r="AC33" s="1149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1:84" ht="15" customHeight="1" x14ac:dyDescent="0.4">
      <c r="A34" s="2"/>
      <c r="B34" s="1137"/>
      <c r="C34" s="1137"/>
      <c r="D34" s="1137"/>
      <c r="E34" s="1137"/>
      <c r="F34" s="1137"/>
      <c r="G34" s="113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spans="1:84" ht="15" customHeight="1" thickBot="1" x14ac:dyDescent="0.45">
      <c r="A35" s="2"/>
      <c r="B35" s="1137"/>
      <c r="C35" s="1137"/>
      <c r="D35" s="1137"/>
      <c r="E35" s="1137"/>
      <c r="F35" s="1137"/>
      <c r="G35" s="113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spans="1:84" ht="15" customHeight="1" x14ac:dyDescent="0.4">
      <c r="A36" s="2"/>
      <c r="B36" s="1137"/>
      <c r="C36" s="1137"/>
      <c r="D36" s="1137"/>
      <c r="E36" s="1137"/>
      <c r="F36" s="1137"/>
      <c r="G36" s="1138"/>
      <c r="H36" s="2"/>
      <c r="I36" s="2"/>
      <c r="J36" s="1107" t="s">
        <v>21</v>
      </c>
      <c r="K36" s="1108"/>
      <c r="L36" s="1108"/>
      <c r="M36" s="1108"/>
      <c r="N36" s="1108"/>
      <c r="O36" s="1108"/>
      <c r="P36" s="1108"/>
      <c r="Q36" s="1108"/>
      <c r="R36" s="1108"/>
      <c r="S36" s="1108"/>
      <c r="T36" s="1108"/>
      <c r="U36" s="1108"/>
      <c r="V36" s="1108"/>
      <c r="W36" s="1108"/>
      <c r="X36" s="1108"/>
      <c r="Y36" s="1108"/>
      <c r="Z36" s="1108"/>
      <c r="AA36" s="1108"/>
      <c r="AB36" s="1108"/>
      <c r="AC36" s="110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spans="1:84" ht="15" customHeight="1" x14ac:dyDescent="0.4">
      <c r="A37" s="2"/>
      <c r="B37" s="1137"/>
      <c r="C37" s="1137"/>
      <c r="D37" s="1137"/>
      <c r="E37" s="1137"/>
      <c r="F37" s="1137"/>
      <c r="G37" s="1138"/>
      <c r="H37" s="2"/>
      <c r="I37" s="2"/>
      <c r="J37" s="1110"/>
      <c r="K37" s="1111"/>
      <c r="L37" s="1111"/>
      <c r="M37" s="1111"/>
      <c r="N37" s="1111"/>
      <c r="O37" s="1111"/>
      <c r="P37" s="1111"/>
      <c r="Q37" s="1111"/>
      <c r="R37" s="1111"/>
      <c r="S37" s="1111"/>
      <c r="T37" s="1111"/>
      <c r="U37" s="1111"/>
      <c r="V37" s="1111"/>
      <c r="W37" s="1111"/>
      <c r="X37" s="1111"/>
      <c r="Y37" s="1111"/>
      <c r="Z37" s="1111"/>
      <c r="AA37" s="1111"/>
      <c r="AB37" s="1111"/>
      <c r="AC37" s="111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spans="1:84" ht="15" customHeight="1" x14ac:dyDescent="0.4">
      <c r="A38" s="2"/>
      <c r="B38" s="1137"/>
      <c r="C38" s="1137"/>
      <c r="D38" s="1137"/>
      <c r="E38" s="1137"/>
      <c r="F38" s="1137"/>
      <c r="G38" s="1138"/>
      <c r="H38" s="2"/>
      <c r="I38" s="2"/>
      <c r="J38" s="1101" t="s">
        <v>22</v>
      </c>
      <c r="K38" s="1102"/>
      <c r="L38" s="1102"/>
      <c r="M38" s="1102"/>
      <c r="N38" s="1102"/>
      <c r="O38" s="1102"/>
      <c r="P38" s="1102"/>
      <c r="Q38" s="1102"/>
      <c r="R38" s="1102"/>
      <c r="S38" s="1102"/>
      <c r="T38" s="1102"/>
      <c r="U38" s="1102"/>
      <c r="V38" s="1102"/>
      <c r="W38" s="1102"/>
      <c r="X38" s="1102"/>
      <c r="Y38" s="1102"/>
      <c r="Z38" s="1102"/>
      <c r="AA38" s="1102"/>
      <c r="AB38" s="1102"/>
      <c r="AC38" s="110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 ht="15" customHeight="1" x14ac:dyDescent="0.4">
      <c r="A39" s="2"/>
      <c r="B39" s="1137"/>
      <c r="C39" s="1137"/>
      <c r="D39" s="1137"/>
      <c r="E39" s="1137"/>
      <c r="F39" s="1137"/>
      <c r="G39" s="1138"/>
      <c r="H39" s="2"/>
      <c r="I39" s="2"/>
      <c r="J39" s="1101"/>
      <c r="K39" s="1102"/>
      <c r="L39" s="1102"/>
      <c r="M39" s="1102"/>
      <c r="N39" s="1102"/>
      <c r="O39" s="1102"/>
      <c r="P39" s="1102"/>
      <c r="Q39" s="1102"/>
      <c r="R39" s="1102"/>
      <c r="S39" s="1102"/>
      <c r="T39" s="1102"/>
      <c r="U39" s="1102"/>
      <c r="V39" s="1102"/>
      <c r="W39" s="1102"/>
      <c r="X39" s="1102"/>
      <c r="Y39" s="1102"/>
      <c r="Z39" s="1102"/>
      <c r="AA39" s="1102"/>
      <c r="AB39" s="1102"/>
      <c r="AC39" s="110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ht="15" customHeight="1" x14ac:dyDescent="0.4">
      <c r="A40" s="2"/>
      <c r="B40" s="1137"/>
      <c r="C40" s="1137"/>
      <c r="D40" s="1137"/>
      <c r="E40" s="1137"/>
      <c r="F40" s="1137"/>
      <c r="G40" s="1138"/>
      <c r="H40" s="2"/>
      <c r="I40" s="2"/>
      <c r="J40" s="1101"/>
      <c r="K40" s="1102"/>
      <c r="L40" s="1102"/>
      <c r="M40" s="1102"/>
      <c r="N40" s="1102"/>
      <c r="O40" s="1102"/>
      <c r="P40" s="1102"/>
      <c r="Q40" s="1102"/>
      <c r="R40" s="1102"/>
      <c r="S40" s="1102"/>
      <c r="T40" s="1102"/>
      <c r="U40" s="1102"/>
      <c r="V40" s="1102"/>
      <c r="W40" s="1102"/>
      <c r="X40" s="1102"/>
      <c r="Y40" s="1102"/>
      <c r="Z40" s="1102"/>
      <c r="AA40" s="1102"/>
      <c r="AB40" s="1102"/>
      <c r="AC40" s="110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1:84" ht="15" customHeight="1" x14ac:dyDescent="0.4">
      <c r="A41" s="2"/>
      <c r="B41" s="1137"/>
      <c r="C41" s="1137"/>
      <c r="D41" s="1137"/>
      <c r="E41" s="1137"/>
      <c r="F41" s="1137"/>
      <c r="G41" s="1138"/>
      <c r="H41" s="2"/>
      <c r="I41" s="2"/>
      <c r="J41" s="1101"/>
      <c r="K41" s="1102"/>
      <c r="L41" s="1102"/>
      <c r="M41" s="1102"/>
      <c r="N41" s="1102"/>
      <c r="O41" s="1102"/>
      <c r="P41" s="1102"/>
      <c r="Q41" s="1102"/>
      <c r="R41" s="1102"/>
      <c r="S41" s="1102"/>
      <c r="T41" s="1102"/>
      <c r="U41" s="1102"/>
      <c r="V41" s="1102"/>
      <c r="W41" s="1102"/>
      <c r="X41" s="1102"/>
      <c r="Y41" s="1102"/>
      <c r="Z41" s="1102"/>
      <c r="AA41" s="1102"/>
      <c r="AB41" s="1102"/>
      <c r="AC41" s="110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1:84" ht="15" customHeight="1" thickBot="1" x14ac:dyDescent="0.45">
      <c r="A42" s="2"/>
      <c r="B42" s="1137"/>
      <c r="C42" s="1137"/>
      <c r="D42" s="1137"/>
      <c r="E42" s="1137"/>
      <c r="F42" s="1137"/>
      <c r="G42" s="1138"/>
      <c r="H42" s="2"/>
      <c r="I42" s="2"/>
      <c r="J42" s="1104"/>
      <c r="K42" s="1105"/>
      <c r="L42" s="1105"/>
      <c r="M42" s="1105"/>
      <c r="N42" s="1105"/>
      <c r="O42" s="1105"/>
      <c r="P42" s="1105"/>
      <c r="Q42" s="1105"/>
      <c r="R42" s="1105"/>
      <c r="S42" s="1105"/>
      <c r="T42" s="1105"/>
      <c r="U42" s="1105"/>
      <c r="V42" s="1105"/>
      <c r="W42" s="1105"/>
      <c r="X42" s="1105"/>
      <c r="Y42" s="1105"/>
      <c r="Z42" s="1105"/>
      <c r="AA42" s="1105"/>
      <c r="AB42" s="1105"/>
      <c r="AC42" s="110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 ht="1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 ht="15" customHeight="1" thickBo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 ht="15" customHeight="1" x14ac:dyDescent="0.4">
      <c r="A45" s="2"/>
      <c r="B45" s="1137" t="s">
        <v>13</v>
      </c>
      <c r="C45" s="1137"/>
      <c r="D45" s="1137"/>
      <c r="E45" s="1137"/>
      <c r="F45" s="1137"/>
      <c r="G45" s="1138"/>
      <c r="H45" s="2"/>
      <c r="I45" s="2"/>
      <c r="J45" s="1107" t="s">
        <v>23</v>
      </c>
      <c r="K45" s="1108"/>
      <c r="L45" s="1108"/>
      <c r="M45" s="1108"/>
      <c r="N45" s="1108"/>
      <c r="O45" s="1108"/>
      <c r="P45" s="1108"/>
      <c r="Q45" s="1108"/>
      <c r="R45" s="1108"/>
      <c r="S45" s="1108"/>
      <c r="T45" s="1108"/>
      <c r="U45" s="1108"/>
      <c r="V45" s="1108"/>
      <c r="W45" s="1108"/>
      <c r="X45" s="1108"/>
      <c r="Y45" s="1108"/>
      <c r="Z45" s="1108"/>
      <c r="AA45" s="1108"/>
      <c r="AB45" s="1108"/>
      <c r="AC45" s="110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ht="15" customHeight="1" x14ac:dyDescent="0.4">
      <c r="A46" s="2"/>
      <c r="B46" s="1137"/>
      <c r="C46" s="1137"/>
      <c r="D46" s="1137"/>
      <c r="E46" s="1137"/>
      <c r="F46" s="1137"/>
      <c r="G46" s="1138"/>
      <c r="H46" s="2"/>
      <c r="I46" s="2"/>
      <c r="J46" s="1110"/>
      <c r="K46" s="1111"/>
      <c r="L46" s="1111"/>
      <c r="M46" s="1111"/>
      <c r="N46" s="1111"/>
      <c r="O46" s="1111"/>
      <c r="P46" s="1111"/>
      <c r="Q46" s="1111"/>
      <c r="R46" s="1111"/>
      <c r="S46" s="1111"/>
      <c r="T46" s="1111"/>
      <c r="U46" s="1111"/>
      <c r="V46" s="1111"/>
      <c r="W46" s="1111"/>
      <c r="X46" s="1111"/>
      <c r="Y46" s="1111"/>
      <c r="Z46" s="1111"/>
      <c r="AA46" s="1111"/>
      <c r="AB46" s="1111"/>
      <c r="AC46" s="111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ht="15" customHeight="1" x14ac:dyDescent="0.4">
      <c r="A47" s="2"/>
      <c r="B47" s="1137"/>
      <c r="C47" s="1137"/>
      <c r="D47" s="1137"/>
      <c r="E47" s="1137"/>
      <c r="F47" s="1137"/>
      <c r="G47" s="1138"/>
      <c r="H47" s="2"/>
      <c r="I47" s="2"/>
      <c r="J47" s="1101" t="s">
        <v>24</v>
      </c>
      <c r="K47" s="1102"/>
      <c r="L47" s="1102"/>
      <c r="M47" s="1102"/>
      <c r="N47" s="1102"/>
      <c r="O47" s="1102"/>
      <c r="P47" s="1102"/>
      <c r="Q47" s="1102"/>
      <c r="R47" s="1102"/>
      <c r="S47" s="1102"/>
      <c r="T47" s="1102"/>
      <c r="U47" s="1102"/>
      <c r="V47" s="1102"/>
      <c r="W47" s="1102"/>
      <c r="X47" s="1102"/>
      <c r="Y47" s="1102"/>
      <c r="Z47" s="1102"/>
      <c r="AA47" s="1102"/>
      <c r="AB47" s="1102"/>
      <c r="AC47" s="110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ht="15" customHeight="1" x14ac:dyDescent="0.4">
      <c r="A48" s="2"/>
      <c r="B48" s="1137"/>
      <c r="C48" s="1137"/>
      <c r="D48" s="1137"/>
      <c r="E48" s="1137"/>
      <c r="F48" s="1137"/>
      <c r="G48" s="1138"/>
      <c r="H48" s="2"/>
      <c r="I48" s="2"/>
      <c r="J48" s="1101"/>
      <c r="K48" s="1102"/>
      <c r="L48" s="1102"/>
      <c r="M48" s="1102"/>
      <c r="N48" s="1102"/>
      <c r="O48" s="1102"/>
      <c r="P48" s="1102"/>
      <c r="Q48" s="1102"/>
      <c r="R48" s="1102"/>
      <c r="S48" s="1102"/>
      <c r="T48" s="1102"/>
      <c r="U48" s="1102"/>
      <c r="V48" s="1102"/>
      <c r="W48" s="1102"/>
      <c r="X48" s="1102"/>
      <c r="Y48" s="1102"/>
      <c r="Z48" s="1102"/>
      <c r="AA48" s="1102"/>
      <c r="AB48" s="1102"/>
      <c r="AC48" s="1103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84" ht="15" customHeight="1" x14ac:dyDescent="0.4">
      <c r="A49" s="2"/>
      <c r="B49" s="1137"/>
      <c r="C49" s="1137"/>
      <c r="D49" s="1137"/>
      <c r="E49" s="1137"/>
      <c r="F49" s="1137"/>
      <c r="G49" s="1138"/>
      <c r="H49" s="2"/>
      <c r="I49" s="2"/>
      <c r="J49" s="1101"/>
      <c r="K49" s="1102"/>
      <c r="L49" s="1102"/>
      <c r="M49" s="1102"/>
      <c r="N49" s="1102"/>
      <c r="O49" s="1102"/>
      <c r="P49" s="1102"/>
      <c r="Q49" s="1102"/>
      <c r="R49" s="1102"/>
      <c r="S49" s="1102"/>
      <c r="T49" s="1102"/>
      <c r="U49" s="1102"/>
      <c r="V49" s="1102"/>
      <c r="W49" s="1102"/>
      <c r="X49" s="1102"/>
      <c r="Y49" s="1102"/>
      <c r="Z49" s="1102"/>
      <c r="AA49" s="1102"/>
      <c r="AB49" s="1102"/>
      <c r="AC49" s="1103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84" ht="15" customHeight="1" x14ac:dyDescent="0.4">
      <c r="A50" s="2"/>
      <c r="B50" s="1137"/>
      <c r="C50" s="1137"/>
      <c r="D50" s="1137"/>
      <c r="E50" s="1137"/>
      <c r="F50" s="1137"/>
      <c r="G50" s="1138"/>
      <c r="H50" s="2"/>
      <c r="I50" s="2"/>
      <c r="J50" s="1101"/>
      <c r="K50" s="1102"/>
      <c r="L50" s="1102"/>
      <c r="M50" s="1102"/>
      <c r="N50" s="1102"/>
      <c r="O50" s="1102"/>
      <c r="P50" s="1102"/>
      <c r="Q50" s="1102"/>
      <c r="R50" s="1102"/>
      <c r="S50" s="1102"/>
      <c r="T50" s="1102"/>
      <c r="U50" s="1102"/>
      <c r="V50" s="1102"/>
      <c r="W50" s="1102"/>
      <c r="X50" s="1102"/>
      <c r="Y50" s="1102"/>
      <c r="Z50" s="1102"/>
      <c r="AA50" s="1102"/>
      <c r="AB50" s="1102"/>
      <c r="AC50" s="1103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84" ht="15" customHeight="1" thickBot="1" x14ac:dyDescent="0.45">
      <c r="A51" s="2"/>
      <c r="B51" s="1137"/>
      <c r="C51" s="1137"/>
      <c r="D51" s="1137"/>
      <c r="E51" s="1137"/>
      <c r="F51" s="1137"/>
      <c r="G51" s="1138"/>
      <c r="H51" s="2"/>
      <c r="I51" s="2"/>
      <c r="J51" s="1104"/>
      <c r="K51" s="1105"/>
      <c r="L51" s="1105"/>
      <c r="M51" s="1105"/>
      <c r="N51" s="1105"/>
      <c r="O51" s="1105"/>
      <c r="P51" s="1105"/>
      <c r="Q51" s="1105"/>
      <c r="R51" s="1105"/>
      <c r="S51" s="1105"/>
      <c r="T51" s="1105"/>
      <c r="U51" s="1105"/>
      <c r="V51" s="1105"/>
      <c r="W51" s="1105"/>
      <c r="X51" s="1105"/>
      <c r="Y51" s="1105"/>
      <c r="Z51" s="1105"/>
      <c r="AA51" s="1105"/>
      <c r="AB51" s="1105"/>
      <c r="AC51" s="1106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84" ht="1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 ht="15" customHeight="1" thickBo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 ht="15" customHeight="1" x14ac:dyDescent="0.4">
      <c r="A54" s="2"/>
      <c r="B54" s="1137" t="s">
        <v>14</v>
      </c>
      <c r="C54" s="1137"/>
      <c r="D54" s="1137"/>
      <c r="E54" s="1137"/>
      <c r="F54" s="1137"/>
      <c r="G54" s="1138"/>
      <c r="H54" s="2"/>
      <c r="I54" s="2"/>
      <c r="J54" s="1107" t="s">
        <v>25</v>
      </c>
      <c r="K54" s="1108"/>
      <c r="L54" s="1108"/>
      <c r="M54" s="1108"/>
      <c r="N54" s="1108"/>
      <c r="O54" s="1108"/>
      <c r="P54" s="1108"/>
      <c r="Q54" s="1108"/>
      <c r="R54" s="1108"/>
      <c r="S54" s="1108"/>
      <c r="T54" s="1108"/>
      <c r="U54" s="1108"/>
      <c r="V54" s="1108"/>
      <c r="W54" s="1108"/>
      <c r="X54" s="1108"/>
      <c r="Y54" s="1108"/>
      <c r="Z54" s="1108"/>
      <c r="AA54" s="1108"/>
      <c r="AB54" s="1108"/>
      <c r="AC54" s="1109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ht="15" customHeight="1" x14ac:dyDescent="0.4">
      <c r="A55" s="2"/>
      <c r="B55" s="1137"/>
      <c r="C55" s="1137"/>
      <c r="D55" s="1137"/>
      <c r="E55" s="1137"/>
      <c r="F55" s="1137"/>
      <c r="G55" s="1138"/>
      <c r="H55" s="2"/>
      <c r="I55" s="2"/>
      <c r="J55" s="1110"/>
      <c r="K55" s="1111"/>
      <c r="L55" s="1111"/>
      <c r="M55" s="1111"/>
      <c r="N55" s="1111"/>
      <c r="O55" s="1111"/>
      <c r="P55" s="1111"/>
      <c r="Q55" s="1111"/>
      <c r="R55" s="1111"/>
      <c r="S55" s="1111"/>
      <c r="T55" s="1111"/>
      <c r="U55" s="1111"/>
      <c r="V55" s="1111"/>
      <c r="W55" s="1111"/>
      <c r="X55" s="1111"/>
      <c r="Y55" s="1111"/>
      <c r="Z55" s="1111"/>
      <c r="AA55" s="1111"/>
      <c r="AB55" s="1111"/>
      <c r="AC55" s="111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ht="15" customHeight="1" x14ac:dyDescent="0.4">
      <c r="A56" s="2"/>
      <c r="B56" s="1137"/>
      <c r="C56" s="1137"/>
      <c r="D56" s="1137"/>
      <c r="E56" s="1137"/>
      <c r="F56" s="1137"/>
      <c r="G56" s="1138"/>
      <c r="H56" s="2"/>
      <c r="I56" s="2"/>
      <c r="J56" s="1101" t="s">
        <v>26</v>
      </c>
      <c r="K56" s="1102"/>
      <c r="L56" s="1102"/>
      <c r="M56" s="1102"/>
      <c r="N56" s="1102"/>
      <c r="O56" s="1102"/>
      <c r="P56" s="1102"/>
      <c r="Q56" s="1102"/>
      <c r="R56" s="1102"/>
      <c r="S56" s="1102"/>
      <c r="T56" s="1102"/>
      <c r="U56" s="1102"/>
      <c r="V56" s="1102"/>
      <c r="W56" s="1102"/>
      <c r="X56" s="1102"/>
      <c r="Y56" s="1102"/>
      <c r="Z56" s="1102"/>
      <c r="AA56" s="1102"/>
      <c r="AB56" s="1102"/>
      <c r="AC56" s="1103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 ht="15" customHeight="1" x14ac:dyDescent="0.4">
      <c r="A57" s="2"/>
      <c r="B57" s="1137"/>
      <c r="C57" s="1137"/>
      <c r="D57" s="1137"/>
      <c r="E57" s="1137"/>
      <c r="F57" s="1137"/>
      <c r="G57" s="1138"/>
      <c r="H57" s="2"/>
      <c r="I57" s="2"/>
      <c r="J57" s="1101"/>
      <c r="K57" s="1102"/>
      <c r="L57" s="1102"/>
      <c r="M57" s="1102"/>
      <c r="N57" s="1102"/>
      <c r="O57" s="1102"/>
      <c r="P57" s="1102"/>
      <c r="Q57" s="1102"/>
      <c r="R57" s="1102"/>
      <c r="S57" s="1102"/>
      <c r="T57" s="1102"/>
      <c r="U57" s="1102"/>
      <c r="V57" s="1102"/>
      <c r="W57" s="1102"/>
      <c r="X57" s="1102"/>
      <c r="Y57" s="1102"/>
      <c r="Z57" s="1102"/>
      <c r="AA57" s="1102"/>
      <c r="AB57" s="1102"/>
      <c r="AC57" s="110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ht="15" customHeight="1" x14ac:dyDescent="0.4">
      <c r="A58" s="2"/>
      <c r="B58" s="1137"/>
      <c r="C58" s="1137"/>
      <c r="D58" s="1137"/>
      <c r="E58" s="1137"/>
      <c r="F58" s="1137"/>
      <c r="G58" s="1138"/>
      <c r="H58" s="2"/>
      <c r="I58" s="2"/>
      <c r="J58" s="1101"/>
      <c r="K58" s="1102"/>
      <c r="L58" s="1102"/>
      <c r="M58" s="1102"/>
      <c r="N58" s="1102"/>
      <c r="O58" s="1102"/>
      <c r="P58" s="1102"/>
      <c r="Q58" s="1102"/>
      <c r="R58" s="1102"/>
      <c r="S58" s="1102"/>
      <c r="T58" s="1102"/>
      <c r="U58" s="1102"/>
      <c r="V58" s="1102"/>
      <c r="W58" s="1102"/>
      <c r="X58" s="1102"/>
      <c r="Y58" s="1102"/>
      <c r="Z58" s="1102"/>
      <c r="AA58" s="1102"/>
      <c r="AB58" s="1102"/>
      <c r="AC58" s="110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ht="15" customHeight="1" x14ac:dyDescent="0.4">
      <c r="A59" s="2"/>
      <c r="B59" s="1137"/>
      <c r="C59" s="1137"/>
      <c r="D59" s="1137"/>
      <c r="E59" s="1137"/>
      <c r="F59" s="1137"/>
      <c r="G59" s="1138"/>
      <c r="H59" s="2"/>
      <c r="I59" s="2"/>
      <c r="J59" s="1101"/>
      <c r="K59" s="1102"/>
      <c r="L59" s="1102"/>
      <c r="M59" s="1102"/>
      <c r="N59" s="1102"/>
      <c r="O59" s="1102"/>
      <c r="P59" s="1102"/>
      <c r="Q59" s="1102"/>
      <c r="R59" s="1102"/>
      <c r="S59" s="1102"/>
      <c r="T59" s="1102"/>
      <c r="U59" s="1102"/>
      <c r="V59" s="1102"/>
      <c r="W59" s="1102"/>
      <c r="X59" s="1102"/>
      <c r="Y59" s="1102"/>
      <c r="Z59" s="1102"/>
      <c r="AA59" s="1102"/>
      <c r="AB59" s="1102"/>
      <c r="AC59" s="1103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ht="15" customHeight="1" thickBot="1" x14ac:dyDescent="0.45">
      <c r="A60" s="2"/>
      <c r="B60" s="1137"/>
      <c r="C60" s="1137"/>
      <c r="D60" s="1137"/>
      <c r="E60" s="1137"/>
      <c r="F60" s="1137"/>
      <c r="G60" s="1138"/>
      <c r="H60" s="2"/>
      <c r="I60" s="2"/>
      <c r="J60" s="1104"/>
      <c r="K60" s="1105"/>
      <c r="L60" s="1105"/>
      <c r="M60" s="1105"/>
      <c r="N60" s="1105"/>
      <c r="O60" s="1105"/>
      <c r="P60" s="1105"/>
      <c r="Q60" s="1105"/>
      <c r="R60" s="1105"/>
      <c r="S60" s="1105"/>
      <c r="T60" s="1105"/>
      <c r="U60" s="1105"/>
      <c r="V60" s="1105"/>
      <c r="W60" s="1105"/>
      <c r="X60" s="1105"/>
      <c r="Y60" s="1105"/>
      <c r="Z60" s="1105"/>
      <c r="AA60" s="1105"/>
      <c r="AB60" s="1105"/>
      <c r="AC60" s="1106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ht="15" customHeight="1" x14ac:dyDescent="0.4">
      <c r="A61" s="2"/>
      <c r="B61" s="1137"/>
      <c r="C61" s="1137"/>
      <c r="D61" s="1137"/>
      <c r="E61" s="1137"/>
      <c r="F61" s="1137"/>
      <c r="G61" s="113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 ht="15" customHeight="1" thickBot="1" x14ac:dyDescent="0.45">
      <c r="A62" s="2"/>
      <c r="B62" s="1137"/>
      <c r="C62" s="1137"/>
      <c r="D62" s="1137"/>
      <c r="E62" s="1137"/>
      <c r="F62" s="1137"/>
      <c r="G62" s="113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  <row r="63" spans="1:84" ht="15" customHeight="1" x14ac:dyDescent="0.4">
      <c r="A63" s="2"/>
      <c r="B63" s="1137"/>
      <c r="C63" s="1137"/>
      <c r="D63" s="1137"/>
      <c r="E63" s="1137"/>
      <c r="F63" s="1137"/>
      <c r="G63" s="1138"/>
      <c r="H63" s="2"/>
      <c r="I63" s="2"/>
      <c r="J63" s="1113" t="s">
        <v>27</v>
      </c>
      <c r="K63" s="1114"/>
      <c r="L63" s="1114"/>
      <c r="M63" s="1114"/>
      <c r="N63" s="1114"/>
      <c r="O63" s="1114"/>
      <c r="P63" s="1114"/>
      <c r="Q63" s="1114"/>
      <c r="R63" s="1114"/>
      <c r="S63" s="1114"/>
      <c r="T63" s="1114"/>
      <c r="U63" s="1114"/>
      <c r="V63" s="1114"/>
      <c r="W63" s="1114"/>
      <c r="X63" s="1114"/>
      <c r="Y63" s="1114"/>
      <c r="Z63" s="1114"/>
      <c r="AA63" s="1114"/>
      <c r="AB63" s="1114"/>
      <c r="AC63" s="1115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</row>
    <row r="64" spans="1:84" ht="15" customHeight="1" x14ac:dyDescent="0.4">
      <c r="A64" s="2"/>
      <c r="B64" s="1137"/>
      <c r="C64" s="1137"/>
      <c r="D64" s="1137"/>
      <c r="E64" s="1137"/>
      <c r="F64" s="1137"/>
      <c r="G64" s="1138"/>
      <c r="H64" s="2"/>
      <c r="I64" s="2"/>
      <c r="J64" s="1116"/>
      <c r="K64" s="1117"/>
      <c r="L64" s="1117"/>
      <c r="M64" s="1117"/>
      <c r="N64" s="1117"/>
      <c r="O64" s="1117"/>
      <c r="P64" s="1117"/>
      <c r="Q64" s="1117"/>
      <c r="R64" s="1117"/>
      <c r="S64" s="1117"/>
      <c r="T64" s="1117"/>
      <c r="U64" s="1117"/>
      <c r="V64" s="1117"/>
      <c r="W64" s="1117"/>
      <c r="X64" s="1117"/>
      <c r="Y64" s="1117"/>
      <c r="Z64" s="1117"/>
      <c r="AA64" s="1117"/>
      <c r="AB64" s="1117"/>
      <c r="AC64" s="1118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</row>
    <row r="65" spans="1:84" ht="15" customHeight="1" x14ac:dyDescent="0.4">
      <c r="A65" s="2"/>
      <c r="B65" s="1137"/>
      <c r="C65" s="1137"/>
      <c r="D65" s="1137"/>
      <c r="E65" s="1137"/>
      <c r="F65" s="1137"/>
      <c r="G65" s="1138"/>
      <c r="H65" s="2"/>
      <c r="I65" s="2"/>
      <c r="J65" s="1119" t="s">
        <v>28</v>
      </c>
      <c r="K65" s="1102"/>
      <c r="L65" s="1102"/>
      <c r="M65" s="1102"/>
      <c r="N65" s="1102"/>
      <c r="O65" s="1102"/>
      <c r="P65" s="1102"/>
      <c r="Q65" s="1102"/>
      <c r="R65" s="1102"/>
      <c r="S65" s="1102"/>
      <c r="T65" s="1102"/>
      <c r="U65" s="1102"/>
      <c r="V65" s="1102"/>
      <c r="W65" s="1102"/>
      <c r="X65" s="1102"/>
      <c r="Y65" s="1102"/>
      <c r="Z65" s="1102"/>
      <c r="AA65" s="1102"/>
      <c r="AB65" s="1102"/>
      <c r="AC65" s="1120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</row>
    <row r="66" spans="1:84" ht="15" customHeight="1" x14ac:dyDescent="0.4">
      <c r="A66" s="2"/>
      <c r="B66" s="1137"/>
      <c r="C66" s="1137"/>
      <c r="D66" s="1137"/>
      <c r="E66" s="1137"/>
      <c r="F66" s="1137"/>
      <c r="G66" s="1138"/>
      <c r="H66" s="2"/>
      <c r="I66" s="2"/>
      <c r="J66" s="1119"/>
      <c r="K66" s="1102"/>
      <c r="L66" s="1102"/>
      <c r="M66" s="1102"/>
      <c r="N66" s="1102"/>
      <c r="O66" s="1102"/>
      <c r="P66" s="1102"/>
      <c r="Q66" s="1102"/>
      <c r="R66" s="1102"/>
      <c r="S66" s="1102"/>
      <c r="T66" s="1102"/>
      <c r="U66" s="1102"/>
      <c r="V66" s="1102"/>
      <c r="W66" s="1102"/>
      <c r="X66" s="1102"/>
      <c r="Y66" s="1102"/>
      <c r="Z66" s="1102"/>
      <c r="AA66" s="1102"/>
      <c r="AB66" s="1102"/>
      <c r="AC66" s="1120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spans="1:84" ht="15" customHeight="1" x14ac:dyDescent="0.4">
      <c r="A67" s="2"/>
      <c r="B67" s="1137"/>
      <c r="C67" s="1137"/>
      <c r="D67" s="1137"/>
      <c r="E67" s="1137"/>
      <c r="F67" s="1137"/>
      <c r="G67" s="1138"/>
      <c r="H67" s="2"/>
      <c r="I67" s="2"/>
      <c r="J67" s="1119"/>
      <c r="K67" s="1102"/>
      <c r="L67" s="1102"/>
      <c r="M67" s="1102"/>
      <c r="N67" s="1102"/>
      <c r="O67" s="1102"/>
      <c r="P67" s="1102"/>
      <c r="Q67" s="1102"/>
      <c r="R67" s="1102"/>
      <c r="S67" s="1102"/>
      <c r="T67" s="1102"/>
      <c r="U67" s="1102"/>
      <c r="V67" s="1102"/>
      <c r="W67" s="1102"/>
      <c r="X67" s="1102"/>
      <c r="Y67" s="1102"/>
      <c r="Z67" s="1102"/>
      <c r="AA67" s="1102"/>
      <c r="AB67" s="1102"/>
      <c r="AC67" s="1120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spans="1:84" ht="15" customHeight="1" x14ac:dyDescent="0.4">
      <c r="A68" s="2"/>
      <c r="B68" s="1137"/>
      <c r="C68" s="1137"/>
      <c r="D68" s="1137"/>
      <c r="E68" s="1137"/>
      <c r="F68" s="1137"/>
      <c r="G68" s="1138"/>
      <c r="H68" s="2"/>
      <c r="I68" s="2"/>
      <c r="J68" s="1119"/>
      <c r="K68" s="1102"/>
      <c r="L68" s="1102"/>
      <c r="M68" s="1102"/>
      <c r="N68" s="1102"/>
      <c r="O68" s="1102"/>
      <c r="P68" s="1102"/>
      <c r="Q68" s="1102"/>
      <c r="R68" s="1102"/>
      <c r="S68" s="1102"/>
      <c r="T68" s="1102"/>
      <c r="U68" s="1102"/>
      <c r="V68" s="1102"/>
      <c r="W68" s="1102"/>
      <c r="X68" s="1102"/>
      <c r="Y68" s="1102"/>
      <c r="Z68" s="1102"/>
      <c r="AA68" s="1102"/>
      <c r="AB68" s="1102"/>
      <c r="AC68" s="1120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</row>
    <row r="69" spans="1:84" ht="15" customHeight="1" thickBot="1" x14ac:dyDescent="0.45">
      <c r="A69" s="2"/>
      <c r="B69" s="1137"/>
      <c r="C69" s="1137"/>
      <c r="D69" s="1137"/>
      <c r="E69" s="1137"/>
      <c r="F69" s="1137"/>
      <c r="G69" s="1138"/>
      <c r="H69" s="2"/>
      <c r="I69" s="2"/>
      <c r="J69" s="1121"/>
      <c r="K69" s="1122"/>
      <c r="L69" s="1122"/>
      <c r="M69" s="1122"/>
      <c r="N69" s="1122"/>
      <c r="O69" s="1122"/>
      <c r="P69" s="1122"/>
      <c r="Q69" s="1122"/>
      <c r="R69" s="1122"/>
      <c r="S69" s="1122"/>
      <c r="T69" s="1122"/>
      <c r="U69" s="1122"/>
      <c r="V69" s="1122"/>
      <c r="W69" s="1122"/>
      <c r="X69" s="1122"/>
      <c r="Y69" s="1122"/>
      <c r="Z69" s="1122"/>
      <c r="AA69" s="1122"/>
      <c r="AB69" s="1122"/>
      <c r="AC69" s="1123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</row>
    <row r="70" spans="1:84" ht="15" customHeight="1" x14ac:dyDescent="0.4">
      <c r="A70" s="2"/>
      <c r="B70" s="1137"/>
      <c r="C70" s="1137"/>
      <c r="D70" s="1137"/>
      <c r="E70" s="1137"/>
      <c r="F70" s="1137"/>
      <c r="G70" s="113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spans="1:84" ht="15" customHeight="1" thickBot="1" x14ac:dyDescent="0.45">
      <c r="A71" s="2"/>
      <c r="B71" s="1137"/>
      <c r="C71" s="1137"/>
      <c r="D71" s="1137"/>
      <c r="E71" s="1137"/>
      <c r="F71" s="1137"/>
      <c r="G71" s="113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spans="1:84" ht="15" customHeight="1" x14ac:dyDescent="0.4">
      <c r="A72" s="2"/>
      <c r="B72" s="1137"/>
      <c r="C72" s="1137"/>
      <c r="D72" s="1137"/>
      <c r="E72" s="1137"/>
      <c r="F72" s="1137"/>
      <c r="G72" s="1138"/>
      <c r="H72" s="2"/>
      <c r="I72" s="2"/>
      <c r="J72" s="1124" t="s">
        <v>29</v>
      </c>
      <c r="K72" s="1125"/>
      <c r="L72" s="1125"/>
      <c r="M72" s="1125"/>
      <c r="N72" s="1125"/>
      <c r="O72" s="1125"/>
      <c r="P72" s="1125"/>
      <c r="Q72" s="1125"/>
      <c r="R72" s="1125"/>
      <c r="S72" s="1125"/>
      <c r="T72" s="1125"/>
      <c r="U72" s="1125"/>
      <c r="V72" s="1125"/>
      <c r="W72" s="1125"/>
      <c r="X72" s="1125"/>
      <c r="Y72" s="1125"/>
      <c r="Z72" s="1125"/>
      <c r="AA72" s="1125"/>
      <c r="AB72" s="1125"/>
      <c r="AC72" s="1126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spans="1:84" ht="15" customHeight="1" x14ac:dyDescent="0.4">
      <c r="A73" s="2"/>
      <c r="B73" s="1137"/>
      <c r="C73" s="1137"/>
      <c r="D73" s="1137"/>
      <c r="E73" s="1137"/>
      <c r="F73" s="1137"/>
      <c r="G73" s="1138"/>
      <c r="H73" s="2"/>
      <c r="I73" s="2"/>
      <c r="J73" s="1127"/>
      <c r="K73" s="1128"/>
      <c r="L73" s="1128"/>
      <c r="M73" s="1128"/>
      <c r="N73" s="1128"/>
      <c r="O73" s="1128"/>
      <c r="P73" s="1128"/>
      <c r="Q73" s="1128"/>
      <c r="R73" s="1128"/>
      <c r="S73" s="1128"/>
      <c r="T73" s="1128"/>
      <c r="U73" s="1128"/>
      <c r="V73" s="1128"/>
      <c r="W73" s="1128"/>
      <c r="X73" s="1128"/>
      <c r="Y73" s="1128"/>
      <c r="Z73" s="1128"/>
      <c r="AA73" s="1128"/>
      <c r="AB73" s="1128"/>
      <c r="AC73" s="1129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</row>
    <row r="74" spans="1:84" ht="15" customHeight="1" x14ac:dyDescent="0.4">
      <c r="A74" s="2"/>
      <c r="B74" s="1137"/>
      <c r="C74" s="1137"/>
      <c r="D74" s="1137"/>
      <c r="E74" s="1137"/>
      <c r="F74" s="1137"/>
      <c r="G74" s="1138"/>
      <c r="H74" s="2"/>
      <c r="I74" s="2"/>
      <c r="J74" s="1130" t="s">
        <v>30</v>
      </c>
      <c r="K74" s="1102"/>
      <c r="L74" s="1102"/>
      <c r="M74" s="1102"/>
      <c r="N74" s="1102"/>
      <c r="O74" s="1102"/>
      <c r="P74" s="1102"/>
      <c r="Q74" s="1102"/>
      <c r="R74" s="1102"/>
      <c r="S74" s="1102"/>
      <c r="T74" s="1102"/>
      <c r="U74" s="1102"/>
      <c r="V74" s="1102"/>
      <c r="W74" s="1102"/>
      <c r="X74" s="1102"/>
      <c r="Y74" s="1102"/>
      <c r="Z74" s="1102"/>
      <c r="AA74" s="1102"/>
      <c r="AB74" s="1102"/>
      <c r="AC74" s="1131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</row>
    <row r="75" spans="1:84" ht="15" customHeight="1" x14ac:dyDescent="0.4">
      <c r="A75" s="2"/>
      <c r="B75" s="1137"/>
      <c r="C75" s="1137"/>
      <c r="D75" s="1137"/>
      <c r="E75" s="1137"/>
      <c r="F75" s="1137"/>
      <c r="G75" s="1138"/>
      <c r="H75" s="2"/>
      <c r="I75" s="2"/>
      <c r="J75" s="1130"/>
      <c r="K75" s="1102"/>
      <c r="L75" s="1102"/>
      <c r="M75" s="1102"/>
      <c r="N75" s="1102"/>
      <c r="O75" s="1102"/>
      <c r="P75" s="1102"/>
      <c r="Q75" s="1102"/>
      <c r="R75" s="1102"/>
      <c r="S75" s="1102"/>
      <c r="T75" s="1102"/>
      <c r="U75" s="1102"/>
      <c r="V75" s="1102"/>
      <c r="W75" s="1102"/>
      <c r="X75" s="1102"/>
      <c r="Y75" s="1102"/>
      <c r="Z75" s="1102"/>
      <c r="AA75" s="1102"/>
      <c r="AB75" s="1102"/>
      <c r="AC75" s="1131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</row>
    <row r="76" spans="1:84" ht="15" customHeight="1" x14ac:dyDescent="0.4">
      <c r="A76" s="2"/>
      <c r="B76" s="1137"/>
      <c r="C76" s="1137"/>
      <c r="D76" s="1137"/>
      <c r="E76" s="1137"/>
      <c r="F76" s="1137"/>
      <c r="G76" s="1138"/>
      <c r="H76" s="2"/>
      <c r="I76" s="2"/>
      <c r="J76" s="1130"/>
      <c r="K76" s="1102"/>
      <c r="L76" s="1102"/>
      <c r="M76" s="1102"/>
      <c r="N76" s="1102"/>
      <c r="O76" s="1102"/>
      <c r="P76" s="1102"/>
      <c r="Q76" s="1102"/>
      <c r="R76" s="1102"/>
      <c r="S76" s="1102"/>
      <c r="T76" s="1102"/>
      <c r="U76" s="1102"/>
      <c r="V76" s="1102"/>
      <c r="W76" s="1102"/>
      <c r="X76" s="1102"/>
      <c r="Y76" s="1102"/>
      <c r="Z76" s="1102"/>
      <c r="AA76" s="1102"/>
      <c r="AB76" s="1102"/>
      <c r="AC76" s="113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spans="1:84" ht="15" customHeight="1" x14ac:dyDescent="0.4">
      <c r="A77" s="2"/>
      <c r="B77" s="1137"/>
      <c r="C77" s="1137"/>
      <c r="D77" s="1137"/>
      <c r="E77" s="1137"/>
      <c r="F77" s="1137"/>
      <c r="G77" s="1138"/>
      <c r="H77" s="2"/>
      <c r="I77" s="2"/>
      <c r="J77" s="1130"/>
      <c r="K77" s="1102"/>
      <c r="L77" s="1102"/>
      <c r="M77" s="1102"/>
      <c r="N77" s="1102"/>
      <c r="O77" s="1102"/>
      <c r="P77" s="1102"/>
      <c r="Q77" s="1102"/>
      <c r="R77" s="1102"/>
      <c r="S77" s="1102"/>
      <c r="T77" s="1102"/>
      <c r="U77" s="1102"/>
      <c r="V77" s="1102"/>
      <c r="W77" s="1102"/>
      <c r="X77" s="1102"/>
      <c r="Y77" s="1102"/>
      <c r="Z77" s="1102"/>
      <c r="AA77" s="1102"/>
      <c r="AB77" s="1102"/>
      <c r="AC77" s="1131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</row>
    <row r="78" spans="1:84" ht="15" customHeight="1" thickBot="1" x14ac:dyDescent="0.45">
      <c r="A78" s="2"/>
      <c r="B78" s="1137"/>
      <c r="C78" s="1137"/>
      <c r="D78" s="1137"/>
      <c r="E78" s="1137"/>
      <c r="F78" s="1137"/>
      <c r="G78" s="1138"/>
      <c r="H78" s="2"/>
      <c r="I78" s="2"/>
      <c r="J78" s="1132"/>
      <c r="K78" s="1133"/>
      <c r="L78" s="1133"/>
      <c r="M78" s="1133"/>
      <c r="N78" s="1133"/>
      <c r="O78" s="1133"/>
      <c r="P78" s="1133"/>
      <c r="Q78" s="1133"/>
      <c r="R78" s="1133"/>
      <c r="S78" s="1133"/>
      <c r="T78" s="1133"/>
      <c r="U78" s="1133"/>
      <c r="V78" s="1133"/>
      <c r="W78" s="1133"/>
      <c r="X78" s="1133"/>
      <c r="Y78" s="1133"/>
      <c r="Z78" s="1133"/>
      <c r="AA78" s="1133"/>
      <c r="AB78" s="1133"/>
      <c r="AC78" s="1134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spans="1:84" ht="15" customHeight="1" x14ac:dyDescent="0.4">
      <c r="A79" s="2"/>
      <c r="B79" s="1137"/>
      <c r="C79" s="1137"/>
      <c r="D79" s="1137"/>
      <c r="E79" s="1137"/>
      <c r="F79" s="1137"/>
      <c r="G79" s="113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spans="1:84" ht="15" customHeight="1" thickBot="1" x14ac:dyDescent="0.45">
      <c r="A80" s="2"/>
      <c r="B80" s="1137"/>
      <c r="C80" s="1137"/>
      <c r="D80" s="1137"/>
      <c r="E80" s="1137"/>
      <c r="F80" s="1137"/>
      <c r="G80" s="113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</row>
    <row r="81" spans="1:84" ht="15" customHeight="1" x14ac:dyDescent="0.4">
      <c r="A81" s="2"/>
      <c r="B81" s="1137"/>
      <c r="C81" s="1137"/>
      <c r="D81" s="1137"/>
      <c r="E81" s="1137"/>
      <c r="F81" s="1137"/>
      <c r="G81" s="1138"/>
      <c r="H81" s="2"/>
      <c r="I81" s="2"/>
      <c r="J81" s="1107" t="s">
        <v>31</v>
      </c>
      <c r="K81" s="1108"/>
      <c r="L81" s="1108"/>
      <c r="M81" s="1108"/>
      <c r="N81" s="1108"/>
      <c r="O81" s="1108"/>
      <c r="P81" s="1108"/>
      <c r="Q81" s="1108"/>
      <c r="R81" s="1108"/>
      <c r="S81" s="1108"/>
      <c r="T81" s="1108"/>
      <c r="U81" s="1108"/>
      <c r="V81" s="1108"/>
      <c r="W81" s="1108"/>
      <c r="X81" s="1108"/>
      <c r="Y81" s="1108"/>
      <c r="Z81" s="1108"/>
      <c r="AA81" s="1108"/>
      <c r="AB81" s="1108"/>
      <c r="AC81" s="1109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1:84" ht="15" customHeight="1" x14ac:dyDescent="0.4">
      <c r="A82" s="2"/>
      <c r="B82" s="1137"/>
      <c r="C82" s="1137"/>
      <c r="D82" s="1137"/>
      <c r="E82" s="1137"/>
      <c r="F82" s="1137"/>
      <c r="G82" s="1138"/>
      <c r="H82" s="2"/>
      <c r="I82" s="2"/>
      <c r="J82" s="1110"/>
      <c r="K82" s="1111"/>
      <c r="L82" s="1111"/>
      <c r="M82" s="1111"/>
      <c r="N82" s="1111"/>
      <c r="O82" s="1111"/>
      <c r="P82" s="1111"/>
      <c r="Q82" s="1111"/>
      <c r="R82" s="1111"/>
      <c r="S82" s="1111"/>
      <c r="T82" s="1111"/>
      <c r="U82" s="1111"/>
      <c r="V82" s="1111"/>
      <c r="W82" s="1111"/>
      <c r="X82" s="1111"/>
      <c r="Y82" s="1111"/>
      <c r="Z82" s="1111"/>
      <c r="AA82" s="1111"/>
      <c r="AB82" s="1111"/>
      <c r="AC82" s="111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spans="1:84" ht="15" customHeight="1" x14ac:dyDescent="0.4">
      <c r="A83" s="2"/>
      <c r="B83" s="1137"/>
      <c r="C83" s="1137"/>
      <c r="D83" s="1137"/>
      <c r="E83" s="1137"/>
      <c r="F83" s="1137"/>
      <c r="G83" s="1138"/>
      <c r="H83" s="2"/>
      <c r="I83" s="2"/>
      <c r="J83" s="1101" t="s">
        <v>32</v>
      </c>
      <c r="K83" s="1102"/>
      <c r="L83" s="1102"/>
      <c r="M83" s="1102"/>
      <c r="N83" s="1102"/>
      <c r="O83" s="1102"/>
      <c r="P83" s="1102"/>
      <c r="Q83" s="1102"/>
      <c r="R83" s="1102"/>
      <c r="S83" s="1102"/>
      <c r="T83" s="1102"/>
      <c r="U83" s="1102"/>
      <c r="V83" s="1102"/>
      <c r="W83" s="1102"/>
      <c r="X83" s="1102"/>
      <c r="Y83" s="1102"/>
      <c r="Z83" s="1102"/>
      <c r="AA83" s="1102"/>
      <c r="AB83" s="1102"/>
      <c r="AC83" s="1103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spans="1:84" ht="15" customHeight="1" x14ac:dyDescent="0.4">
      <c r="A84" s="2"/>
      <c r="B84" s="1137"/>
      <c r="C84" s="1137"/>
      <c r="D84" s="1137"/>
      <c r="E84" s="1137"/>
      <c r="F84" s="1137"/>
      <c r="G84" s="1138"/>
      <c r="H84" s="2"/>
      <c r="I84" s="2"/>
      <c r="J84" s="1101"/>
      <c r="K84" s="1102"/>
      <c r="L84" s="1102"/>
      <c r="M84" s="1102"/>
      <c r="N84" s="1102"/>
      <c r="O84" s="1102"/>
      <c r="P84" s="1102"/>
      <c r="Q84" s="1102"/>
      <c r="R84" s="1102"/>
      <c r="S84" s="1102"/>
      <c r="T84" s="1102"/>
      <c r="U84" s="1102"/>
      <c r="V84" s="1102"/>
      <c r="W84" s="1102"/>
      <c r="X84" s="1102"/>
      <c r="Y84" s="1102"/>
      <c r="Z84" s="1102"/>
      <c r="AA84" s="1102"/>
      <c r="AB84" s="1102"/>
      <c r="AC84" s="1103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</row>
    <row r="85" spans="1:84" ht="15" customHeight="1" x14ac:dyDescent="0.4">
      <c r="A85" s="2"/>
      <c r="B85" s="1137"/>
      <c r="C85" s="1137"/>
      <c r="D85" s="1137"/>
      <c r="E85" s="1137"/>
      <c r="F85" s="1137"/>
      <c r="G85" s="1138"/>
      <c r="H85" s="2"/>
      <c r="I85" s="2"/>
      <c r="J85" s="1101"/>
      <c r="K85" s="1102"/>
      <c r="L85" s="1102"/>
      <c r="M85" s="1102"/>
      <c r="N85" s="1102"/>
      <c r="O85" s="1102"/>
      <c r="P85" s="1102"/>
      <c r="Q85" s="1102"/>
      <c r="R85" s="1102"/>
      <c r="S85" s="1102"/>
      <c r="T85" s="1102"/>
      <c r="U85" s="1102"/>
      <c r="V85" s="1102"/>
      <c r="W85" s="1102"/>
      <c r="X85" s="1102"/>
      <c r="Y85" s="1102"/>
      <c r="Z85" s="1102"/>
      <c r="AA85" s="1102"/>
      <c r="AB85" s="1102"/>
      <c r="AC85" s="1103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1:84" ht="15" customHeight="1" x14ac:dyDescent="0.4">
      <c r="A86" s="2"/>
      <c r="B86" s="1137"/>
      <c r="C86" s="1137"/>
      <c r="D86" s="1137"/>
      <c r="E86" s="1137"/>
      <c r="F86" s="1137"/>
      <c r="G86" s="1138"/>
      <c r="H86" s="2"/>
      <c r="I86" s="2"/>
      <c r="J86" s="1101"/>
      <c r="K86" s="1102"/>
      <c r="L86" s="1102"/>
      <c r="M86" s="1102"/>
      <c r="N86" s="1102"/>
      <c r="O86" s="1102"/>
      <c r="P86" s="1102"/>
      <c r="Q86" s="1102"/>
      <c r="R86" s="1102"/>
      <c r="S86" s="1102"/>
      <c r="T86" s="1102"/>
      <c r="U86" s="1102"/>
      <c r="V86" s="1102"/>
      <c r="W86" s="1102"/>
      <c r="X86" s="1102"/>
      <c r="Y86" s="1102"/>
      <c r="Z86" s="1102"/>
      <c r="AA86" s="1102"/>
      <c r="AB86" s="1102"/>
      <c r="AC86" s="1103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1:84" ht="15" customHeight="1" thickBot="1" x14ac:dyDescent="0.45">
      <c r="A87" s="2"/>
      <c r="B87" s="1137"/>
      <c r="C87" s="1137"/>
      <c r="D87" s="1137"/>
      <c r="E87" s="1137"/>
      <c r="F87" s="1137"/>
      <c r="G87" s="1138"/>
      <c r="H87" s="2"/>
      <c r="I87" s="2"/>
      <c r="J87" s="1104"/>
      <c r="K87" s="1105"/>
      <c r="L87" s="1105"/>
      <c r="M87" s="1105"/>
      <c r="N87" s="1105"/>
      <c r="O87" s="1105"/>
      <c r="P87" s="1105"/>
      <c r="Q87" s="1105"/>
      <c r="R87" s="1105"/>
      <c r="S87" s="1105"/>
      <c r="T87" s="1105"/>
      <c r="U87" s="1105"/>
      <c r="V87" s="1105"/>
      <c r="W87" s="1105"/>
      <c r="X87" s="1105"/>
      <c r="Y87" s="1105"/>
      <c r="Z87" s="1105"/>
      <c r="AA87" s="1105"/>
      <c r="AB87" s="1105"/>
      <c r="AC87" s="1106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1:84" ht="15" customHeight="1" x14ac:dyDescent="0.4">
      <c r="A88" s="2"/>
      <c r="B88" s="1137"/>
      <c r="C88" s="1137"/>
      <c r="D88" s="1137"/>
      <c r="E88" s="1137"/>
      <c r="F88" s="1137"/>
      <c r="G88" s="113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1:84" ht="15" customHeight="1" thickBot="1" x14ac:dyDescent="0.45">
      <c r="A89" s="2"/>
      <c r="B89" s="1137"/>
      <c r="C89" s="1137"/>
      <c r="D89" s="1137"/>
      <c r="E89" s="1137"/>
      <c r="F89" s="1137"/>
      <c r="G89" s="113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1:84" ht="15" customHeight="1" x14ac:dyDescent="0.4">
      <c r="A90" s="2"/>
      <c r="B90" s="1137"/>
      <c r="C90" s="1137"/>
      <c r="D90" s="1137"/>
      <c r="E90" s="1137"/>
      <c r="F90" s="1137"/>
      <c r="G90" s="1138"/>
      <c r="H90" s="2"/>
      <c r="I90" s="2"/>
      <c r="J90" s="1107" t="s">
        <v>33</v>
      </c>
      <c r="K90" s="1108"/>
      <c r="L90" s="1108"/>
      <c r="M90" s="1108"/>
      <c r="N90" s="1108"/>
      <c r="O90" s="1108"/>
      <c r="P90" s="1108"/>
      <c r="Q90" s="1108"/>
      <c r="R90" s="1108"/>
      <c r="S90" s="1108"/>
      <c r="T90" s="1108"/>
      <c r="U90" s="1108"/>
      <c r="V90" s="1108"/>
      <c r="W90" s="1108"/>
      <c r="X90" s="1108"/>
      <c r="Y90" s="1108"/>
      <c r="Z90" s="1108"/>
      <c r="AA90" s="1108"/>
      <c r="AB90" s="1108"/>
      <c r="AC90" s="1109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1:84" ht="15" customHeight="1" x14ac:dyDescent="0.4">
      <c r="A91" s="2"/>
      <c r="B91" s="1137"/>
      <c r="C91" s="1137"/>
      <c r="D91" s="1137"/>
      <c r="E91" s="1137"/>
      <c r="F91" s="1137"/>
      <c r="G91" s="1138"/>
      <c r="H91" s="2"/>
      <c r="I91" s="2"/>
      <c r="J91" s="1110"/>
      <c r="K91" s="1111"/>
      <c r="L91" s="1111"/>
      <c r="M91" s="1111"/>
      <c r="N91" s="1111"/>
      <c r="O91" s="1111"/>
      <c r="P91" s="1111"/>
      <c r="Q91" s="1111"/>
      <c r="R91" s="1111"/>
      <c r="S91" s="1111"/>
      <c r="T91" s="1111"/>
      <c r="U91" s="1111"/>
      <c r="V91" s="1111"/>
      <c r="W91" s="1111"/>
      <c r="X91" s="1111"/>
      <c r="Y91" s="1111"/>
      <c r="Z91" s="1111"/>
      <c r="AA91" s="1111"/>
      <c r="AB91" s="1111"/>
      <c r="AC91" s="111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1:84" ht="15" customHeight="1" x14ac:dyDescent="0.4">
      <c r="A92" s="2"/>
      <c r="B92" s="1137"/>
      <c r="C92" s="1137"/>
      <c r="D92" s="1137"/>
      <c r="E92" s="1137"/>
      <c r="F92" s="1137"/>
      <c r="G92" s="1138"/>
      <c r="H92" s="2"/>
      <c r="I92" s="2"/>
      <c r="J92" s="1101" t="s">
        <v>34</v>
      </c>
      <c r="K92" s="1102"/>
      <c r="L92" s="1102"/>
      <c r="M92" s="1102"/>
      <c r="N92" s="1102"/>
      <c r="O92" s="1102"/>
      <c r="P92" s="1102"/>
      <c r="Q92" s="1102"/>
      <c r="R92" s="1102"/>
      <c r="S92" s="1102"/>
      <c r="T92" s="1102"/>
      <c r="U92" s="1102"/>
      <c r="V92" s="1102"/>
      <c r="W92" s="1102"/>
      <c r="X92" s="1102"/>
      <c r="Y92" s="1102"/>
      <c r="Z92" s="1102"/>
      <c r="AA92" s="1102"/>
      <c r="AB92" s="1102"/>
      <c r="AC92" s="1103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1:84" ht="15" customHeight="1" x14ac:dyDescent="0.4">
      <c r="A93" s="2"/>
      <c r="B93" s="1137"/>
      <c r="C93" s="1137"/>
      <c r="D93" s="1137"/>
      <c r="E93" s="1137"/>
      <c r="F93" s="1137"/>
      <c r="G93" s="1138"/>
      <c r="H93" s="2"/>
      <c r="I93" s="2"/>
      <c r="J93" s="1101"/>
      <c r="K93" s="1102"/>
      <c r="L93" s="1102"/>
      <c r="M93" s="1102"/>
      <c r="N93" s="1102"/>
      <c r="O93" s="1102"/>
      <c r="P93" s="1102"/>
      <c r="Q93" s="1102"/>
      <c r="R93" s="1102"/>
      <c r="S93" s="1102"/>
      <c r="T93" s="1102"/>
      <c r="U93" s="1102"/>
      <c r="V93" s="1102"/>
      <c r="W93" s="1102"/>
      <c r="X93" s="1102"/>
      <c r="Y93" s="1102"/>
      <c r="Z93" s="1102"/>
      <c r="AA93" s="1102"/>
      <c r="AB93" s="1102"/>
      <c r="AC93" s="1103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1:84" ht="15" customHeight="1" x14ac:dyDescent="0.4">
      <c r="A94" s="2"/>
      <c r="B94" s="1137"/>
      <c r="C94" s="1137"/>
      <c r="D94" s="1137"/>
      <c r="E94" s="1137"/>
      <c r="F94" s="1137"/>
      <c r="G94" s="1138"/>
      <c r="H94" s="2"/>
      <c r="I94" s="2"/>
      <c r="J94" s="1101"/>
      <c r="K94" s="1102"/>
      <c r="L94" s="1102"/>
      <c r="M94" s="1102"/>
      <c r="N94" s="1102"/>
      <c r="O94" s="1102"/>
      <c r="P94" s="1102"/>
      <c r="Q94" s="1102"/>
      <c r="R94" s="1102"/>
      <c r="S94" s="1102"/>
      <c r="T94" s="1102"/>
      <c r="U94" s="1102"/>
      <c r="V94" s="1102"/>
      <c r="W94" s="1102"/>
      <c r="X94" s="1102"/>
      <c r="Y94" s="1102"/>
      <c r="Z94" s="1102"/>
      <c r="AA94" s="1102"/>
      <c r="AB94" s="1102"/>
      <c r="AC94" s="1103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1:84" ht="15" customHeight="1" x14ac:dyDescent="0.4">
      <c r="A95" s="2"/>
      <c r="B95" s="1137"/>
      <c r="C95" s="1137"/>
      <c r="D95" s="1137"/>
      <c r="E95" s="1137"/>
      <c r="F95" s="1137"/>
      <c r="G95" s="1138"/>
      <c r="H95" s="2"/>
      <c r="I95" s="2"/>
      <c r="J95" s="1101"/>
      <c r="K95" s="1102"/>
      <c r="L95" s="1102"/>
      <c r="M95" s="1102"/>
      <c r="N95" s="1102"/>
      <c r="O95" s="1102"/>
      <c r="P95" s="1102"/>
      <c r="Q95" s="1102"/>
      <c r="R95" s="1102"/>
      <c r="S95" s="1102"/>
      <c r="T95" s="1102"/>
      <c r="U95" s="1102"/>
      <c r="V95" s="1102"/>
      <c r="W95" s="1102"/>
      <c r="X95" s="1102"/>
      <c r="Y95" s="1102"/>
      <c r="Z95" s="1102"/>
      <c r="AA95" s="1102"/>
      <c r="AB95" s="1102"/>
      <c r="AC95" s="1103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1:84" ht="15" customHeight="1" thickBot="1" x14ac:dyDescent="0.45">
      <c r="A96" s="2"/>
      <c r="B96" s="1137"/>
      <c r="C96" s="1137"/>
      <c r="D96" s="1137"/>
      <c r="E96" s="1137"/>
      <c r="F96" s="1137"/>
      <c r="G96" s="1138"/>
      <c r="H96" s="2"/>
      <c r="I96" s="2"/>
      <c r="J96" s="1104"/>
      <c r="K96" s="1105"/>
      <c r="L96" s="1105"/>
      <c r="M96" s="1105"/>
      <c r="N96" s="1105"/>
      <c r="O96" s="1105"/>
      <c r="P96" s="1105"/>
      <c r="Q96" s="1105"/>
      <c r="R96" s="1105"/>
      <c r="S96" s="1105"/>
      <c r="T96" s="1105"/>
      <c r="U96" s="1105"/>
      <c r="V96" s="1105"/>
      <c r="W96" s="1105"/>
      <c r="X96" s="1105"/>
      <c r="Y96" s="1105"/>
      <c r="Z96" s="1105"/>
      <c r="AA96" s="1105"/>
      <c r="AB96" s="1105"/>
      <c r="AC96" s="1106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1:84" ht="1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</row>
    <row r="98" spans="1:84" ht="1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1:84" ht="1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1:84" ht="1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  <row r="101" spans="1:84" ht="1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</sheetData>
  <mergeCells count="35">
    <mergeCell ref="B1:BH2"/>
    <mergeCell ref="B3:CB3"/>
    <mergeCell ref="B5:I6"/>
    <mergeCell ref="K5:R6"/>
    <mergeCell ref="T5:AA6"/>
    <mergeCell ref="AC5:AJ6"/>
    <mergeCell ref="AL5:AS6"/>
    <mergeCell ref="AU5:BB6"/>
    <mergeCell ref="BD5:BK6"/>
    <mergeCell ref="BM5:BT6"/>
    <mergeCell ref="J54:AC55"/>
    <mergeCell ref="BV5:CC6"/>
    <mergeCell ref="B7:CB7"/>
    <mergeCell ref="B9:G42"/>
    <mergeCell ref="B45:G51"/>
    <mergeCell ref="B54:G96"/>
    <mergeCell ref="J9:AC10"/>
    <mergeCell ref="J11:AC15"/>
    <mergeCell ref="J18:AC19"/>
    <mergeCell ref="J20:AC24"/>
    <mergeCell ref="J27:AC28"/>
    <mergeCell ref="J29:AC33"/>
    <mergeCell ref="J36:AC37"/>
    <mergeCell ref="J38:AC42"/>
    <mergeCell ref="J45:AC46"/>
    <mergeCell ref="J47:AC51"/>
    <mergeCell ref="J83:AC87"/>
    <mergeCell ref="J90:AC91"/>
    <mergeCell ref="J92:AC96"/>
    <mergeCell ref="J56:AC60"/>
    <mergeCell ref="J63:AC64"/>
    <mergeCell ref="J65:AC69"/>
    <mergeCell ref="J72:AC73"/>
    <mergeCell ref="J74:AC78"/>
    <mergeCell ref="J81:AC82"/>
  </mergeCells>
  <phoneticPr fontId="2"/>
  <pageMargins left="0.7" right="0.7" top="0.75" bottom="0.75" header="0.3" footer="0.3"/>
  <pageSetup paperSize="9" scale="3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86C6-A93D-4B8F-8EDA-F8417F59EF02}">
  <sheetPr>
    <pageSetUpPr fitToPage="1"/>
  </sheetPr>
  <dimension ref="A1:CF182"/>
  <sheetViews>
    <sheetView showGridLines="0" topLeftCell="A45" zoomScale="85" zoomScaleNormal="85" workbookViewId="0"/>
  </sheetViews>
  <sheetFormatPr defaultRowHeight="15.75" x14ac:dyDescent="0.4"/>
  <cols>
    <col min="1" max="84" width="3" style="1" customWidth="1"/>
    <col min="85" max="16384" width="9" style="1"/>
  </cols>
  <sheetData>
    <row r="1" spans="1:84" ht="15" customHeight="1" x14ac:dyDescent="0.4">
      <c r="A1" s="2"/>
      <c r="B1" s="1150" t="s">
        <v>35</v>
      </c>
      <c r="C1" s="1150"/>
      <c r="D1" s="1150"/>
      <c r="E1" s="1150"/>
      <c r="F1" s="1150"/>
      <c r="G1" s="1150"/>
      <c r="H1" s="1150"/>
      <c r="I1" s="1150"/>
      <c r="J1" s="1150"/>
      <c r="K1" s="1150"/>
      <c r="L1" s="1150"/>
      <c r="M1" s="1150"/>
      <c r="N1" s="1150"/>
      <c r="O1" s="1150"/>
      <c r="P1" s="1150"/>
      <c r="Q1" s="1150"/>
      <c r="R1" s="1150"/>
      <c r="S1" s="1150"/>
      <c r="T1" s="1150"/>
      <c r="U1" s="1150"/>
      <c r="V1" s="1150"/>
      <c r="W1" s="1150"/>
      <c r="X1" s="1150"/>
      <c r="Y1" s="1150"/>
      <c r="Z1" s="1150"/>
      <c r="AA1" s="1150"/>
      <c r="AB1" s="1150"/>
      <c r="AC1" s="1150"/>
      <c r="AD1" s="1150"/>
      <c r="AE1" s="1150"/>
      <c r="AF1" s="1150"/>
      <c r="AG1" s="1150"/>
      <c r="AH1" s="1150"/>
      <c r="AI1" s="1150"/>
      <c r="AJ1" s="1150"/>
      <c r="AK1" s="1150"/>
      <c r="AL1" s="1150"/>
      <c r="AM1" s="1150"/>
      <c r="AN1" s="1150"/>
      <c r="AO1" s="1150"/>
      <c r="AP1" s="1150"/>
      <c r="AQ1" s="1150"/>
      <c r="AR1" s="1150"/>
      <c r="AS1" s="1150"/>
      <c r="AT1" s="1150"/>
      <c r="AU1" s="1150"/>
      <c r="AV1" s="1150"/>
      <c r="AW1" s="1150"/>
      <c r="AX1" s="1150"/>
      <c r="AY1" s="1150"/>
      <c r="AZ1" s="1150"/>
      <c r="BA1" s="1150"/>
      <c r="BB1" s="1150"/>
      <c r="BC1" s="1150"/>
      <c r="BD1" s="1150"/>
      <c r="BE1" s="1150"/>
      <c r="BF1" s="1150"/>
      <c r="BG1" s="1150"/>
      <c r="BH1" s="1150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ht="15" customHeight="1" x14ac:dyDescent="0.4">
      <c r="A2" s="2"/>
      <c r="B2" s="1150"/>
      <c r="C2" s="1150"/>
      <c r="D2" s="1150"/>
      <c r="E2" s="1150"/>
      <c r="F2" s="1150"/>
      <c r="G2" s="1150"/>
      <c r="H2" s="1150"/>
      <c r="I2" s="1150"/>
      <c r="J2" s="1150"/>
      <c r="K2" s="1150"/>
      <c r="L2" s="1150"/>
      <c r="M2" s="1150"/>
      <c r="N2" s="1150"/>
      <c r="O2" s="1150"/>
      <c r="P2" s="1150"/>
      <c r="Q2" s="1150"/>
      <c r="R2" s="1150"/>
      <c r="S2" s="1150"/>
      <c r="T2" s="1150"/>
      <c r="U2" s="1150"/>
      <c r="V2" s="1150"/>
      <c r="W2" s="1150"/>
      <c r="X2" s="1150"/>
      <c r="Y2" s="1150"/>
      <c r="Z2" s="1150"/>
      <c r="AA2" s="1150"/>
      <c r="AB2" s="1150"/>
      <c r="AC2" s="1150"/>
      <c r="AD2" s="1150"/>
      <c r="AE2" s="1150"/>
      <c r="AF2" s="1150"/>
      <c r="AG2" s="1150"/>
      <c r="AH2" s="1150"/>
      <c r="AI2" s="1150"/>
      <c r="AJ2" s="1150"/>
      <c r="AK2" s="1150"/>
      <c r="AL2" s="1150"/>
      <c r="AM2" s="1150"/>
      <c r="AN2" s="1150"/>
      <c r="AO2" s="1150"/>
      <c r="AP2" s="1150"/>
      <c r="AQ2" s="1150"/>
      <c r="AR2" s="1150"/>
      <c r="AS2" s="1150"/>
      <c r="AT2" s="1150"/>
      <c r="AU2" s="1150"/>
      <c r="AV2" s="1150"/>
      <c r="AW2" s="1150"/>
      <c r="AX2" s="1150"/>
      <c r="AY2" s="1150"/>
      <c r="AZ2" s="1150"/>
      <c r="BA2" s="1150"/>
      <c r="BB2" s="1150"/>
      <c r="BC2" s="1150"/>
      <c r="BD2" s="1150"/>
      <c r="BE2" s="1150"/>
      <c r="BF2" s="1150"/>
      <c r="BG2" s="1150"/>
      <c r="BH2" s="1150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ht="15" customHeight="1" x14ac:dyDescent="0.4">
      <c r="A3" s="2"/>
      <c r="B3" s="1151" t="s">
        <v>36</v>
      </c>
      <c r="C3" s="1151"/>
      <c r="D3" s="1151"/>
      <c r="E3" s="1151"/>
      <c r="F3" s="1151"/>
      <c r="G3" s="1151"/>
      <c r="H3" s="1151"/>
      <c r="I3" s="1151"/>
      <c r="J3" s="1151"/>
      <c r="K3" s="1151"/>
      <c r="L3" s="1151"/>
      <c r="M3" s="1151"/>
      <c r="N3" s="1151"/>
      <c r="O3" s="1151"/>
      <c r="P3" s="1151"/>
      <c r="Q3" s="1151"/>
      <c r="R3" s="1151"/>
      <c r="S3" s="1151"/>
      <c r="T3" s="1151"/>
      <c r="U3" s="1151"/>
      <c r="V3" s="1151"/>
      <c r="W3" s="1151"/>
      <c r="X3" s="1151"/>
      <c r="Y3" s="1151"/>
      <c r="Z3" s="1151"/>
      <c r="AA3" s="1151"/>
      <c r="AB3" s="1151"/>
      <c r="AC3" s="1151"/>
      <c r="AD3" s="1151"/>
      <c r="AE3" s="1151"/>
      <c r="AF3" s="1151"/>
      <c r="AG3" s="1151"/>
      <c r="AH3" s="1151"/>
      <c r="AI3" s="1151"/>
      <c r="AJ3" s="1151"/>
      <c r="AK3" s="1151"/>
      <c r="AL3" s="1151"/>
      <c r="AM3" s="1151"/>
      <c r="AN3" s="1151"/>
      <c r="AO3" s="1151"/>
      <c r="AP3" s="1151"/>
      <c r="AQ3" s="1151"/>
      <c r="AR3" s="1151"/>
      <c r="AS3" s="1151"/>
      <c r="AT3" s="1151"/>
      <c r="AU3" s="1151"/>
      <c r="AV3" s="1151"/>
      <c r="AW3" s="1151"/>
      <c r="AX3" s="1151"/>
      <c r="AY3" s="1151"/>
      <c r="AZ3" s="1151"/>
      <c r="BA3" s="1151"/>
      <c r="BB3" s="1151"/>
      <c r="BC3" s="1151"/>
      <c r="BD3" s="1151"/>
      <c r="BE3" s="1151"/>
      <c r="BF3" s="1151"/>
      <c r="BG3" s="1151"/>
      <c r="BH3" s="1151"/>
      <c r="BI3" s="1151"/>
      <c r="BJ3" s="1151"/>
      <c r="BK3" s="1151"/>
      <c r="BL3" s="1151"/>
      <c r="BM3" s="1151"/>
      <c r="BN3" s="1151"/>
      <c r="BO3" s="1151"/>
      <c r="BP3" s="1151"/>
      <c r="BQ3" s="1151"/>
      <c r="BR3" s="1151"/>
      <c r="BS3" s="1151"/>
      <c r="BT3" s="1151"/>
      <c r="BU3" s="1151"/>
      <c r="BV3" s="1151"/>
      <c r="BW3" s="1151"/>
      <c r="BX3" s="1151"/>
      <c r="BY3" s="1151"/>
      <c r="BZ3" s="1151"/>
      <c r="CA3" s="1151"/>
      <c r="CB3" s="1151"/>
      <c r="CC3" s="2"/>
      <c r="CD3" s="2"/>
      <c r="CE3" s="2"/>
      <c r="CF3" s="2"/>
    </row>
    <row r="4" spans="1:84" ht="1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 x14ac:dyDescent="0.4">
      <c r="A5" s="2"/>
      <c r="B5" s="1152" t="s">
        <v>2</v>
      </c>
      <c r="C5" s="1152"/>
      <c r="D5" s="1152"/>
      <c r="E5" s="1152"/>
      <c r="F5" s="1152"/>
      <c r="G5" s="1152"/>
      <c r="H5" s="1152"/>
      <c r="I5" s="1152"/>
      <c r="J5" s="2"/>
      <c r="K5" s="1153" t="s">
        <v>3</v>
      </c>
      <c r="L5" s="1153"/>
      <c r="M5" s="1153"/>
      <c r="N5" s="1153"/>
      <c r="O5" s="1153"/>
      <c r="P5" s="1153"/>
      <c r="Q5" s="1153"/>
      <c r="R5" s="1153"/>
      <c r="S5" s="2"/>
      <c r="T5" s="1154" t="s">
        <v>4</v>
      </c>
      <c r="U5" s="1154"/>
      <c r="V5" s="1154"/>
      <c r="W5" s="1154"/>
      <c r="X5" s="1154"/>
      <c r="Y5" s="1154"/>
      <c r="Z5" s="1154"/>
      <c r="AA5" s="1154"/>
      <c r="AB5" s="2"/>
      <c r="AC5" s="1155" t="s">
        <v>5</v>
      </c>
      <c r="AD5" s="1155"/>
      <c r="AE5" s="1155"/>
      <c r="AF5" s="1155"/>
      <c r="AG5" s="1155"/>
      <c r="AH5" s="1155"/>
      <c r="AI5" s="1155"/>
      <c r="AJ5" s="1155"/>
      <c r="AK5" s="2"/>
      <c r="AL5" s="1156" t="s">
        <v>6</v>
      </c>
      <c r="AM5" s="1156"/>
      <c r="AN5" s="1156"/>
      <c r="AO5" s="1156"/>
      <c r="AP5" s="1156"/>
      <c r="AQ5" s="1156"/>
      <c r="AR5" s="1156"/>
      <c r="AS5" s="1156"/>
      <c r="AT5" s="2"/>
      <c r="AU5" s="1157" t="s">
        <v>7</v>
      </c>
      <c r="AV5" s="1157"/>
      <c r="AW5" s="1157"/>
      <c r="AX5" s="1157"/>
      <c r="AY5" s="1157"/>
      <c r="AZ5" s="1157"/>
      <c r="BA5" s="1157"/>
      <c r="BB5" s="1157"/>
      <c r="BC5" s="2"/>
      <c r="BD5" s="1158" t="s">
        <v>8</v>
      </c>
      <c r="BE5" s="1158"/>
      <c r="BF5" s="1158"/>
      <c r="BG5" s="1158"/>
      <c r="BH5" s="1158"/>
      <c r="BI5" s="1158"/>
      <c r="BJ5" s="1158"/>
      <c r="BK5" s="1158"/>
      <c r="BL5" s="2"/>
      <c r="BM5" s="1159" t="s">
        <v>9</v>
      </c>
      <c r="BN5" s="1159"/>
      <c r="BO5" s="1159"/>
      <c r="BP5" s="1159"/>
      <c r="BQ5" s="1159"/>
      <c r="BR5" s="1159"/>
      <c r="BS5" s="1159"/>
      <c r="BT5" s="1159"/>
      <c r="BU5" s="2"/>
      <c r="BV5" s="1135" t="s">
        <v>10</v>
      </c>
      <c r="BW5" s="1135"/>
      <c r="BX5" s="1135"/>
      <c r="BY5" s="1135"/>
      <c r="BZ5" s="1135"/>
      <c r="CA5" s="1135"/>
      <c r="CB5" s="1135"/>
      <c r="CC5" s="1135"/>
      <c r="CD5" s="2"/>
      <c r="CE5" s="2"/>
      <c r="CF5" s="2"/>
    </row>
    <row r="6" spans="1:84" ht="15" customHeight="1" x14ac:dyDescent="0.4">
      <c r="A6" s="2"/>
      <c r="B6" s="1152"/>
      <c r="C6" s="1152"/>
      <c r="D6" s="1152"/>
      <c r="E6" s="1152"/>
      <c r="F6" s="1152"/>
      <c r="G6" s="1152"/>
      <c r="H6" s="1152"/>
      <c r="I6" s="1152"/>
      <c r="J6" s="2"/>
      <c r="K6" s="1153"/>
      <c r="L6" s="1153"/>
      <c r="M6" s="1153"/>
      <c r="N6" s="1153"/>
      <c r="O6" s="1153"/>
      <c r="P6" s="1153"/>
      <c r="Q6" s="1153"/>
      <c r="R6" s="1153"/>
      <c r="S6" s="2"/>
      <c r="T6" s="1154"/>
      <c r="U6" s="1154"/>
      <c r="V6" s="1154"/>
      <c r="W6" s="1154"/>
      <c r="X6" s="1154"/>
      <c r="Y6" s="1154"/>
      <c r="Z6" s="1154"/>
      <c r="AA6" s="1154"/>
      <c r="AB6" s="2"/>
      <c r="AC6" s="1155"/>
      <c r="AD6" s="1155"/>
      <c r="AE6" s="1155"/>
      <c r="AF6" s="1155"/>
      <c r="AG6" s="1155"/>
      <c r="AH6" s="1155"/>
      <c r="AI6" s="1155"/>
      <c r="AJ6" s="1155"/>
      <c r="AK6" s="2"/>
      <c r="AL6" s="1156"/>
      <c r="AM6" s="1156"/>
      <c r="AN6" s="1156"/>
      <c r="AO6" s="1156"/>
      <c r="AP6" s="1156"/>
      <c r="AQ6" s="1156"/>
      <c r="AR6" s="1156"/>
      <c r="AS6" s="1156"/>
      <c r="AT6" s="2"/>
      <c r="AU6" s="1157"/>
      <c r="AV6" s="1157"/>
      <c r="AW6" s="1157"/>
      <c r="AX6" s="1157"/>
      <c r="AY6" s="1157"/>
      <c r="AZ6" s="1157"/>
      <c r="BA6" s="1157"/>
      <c r="BB6" s="1157"/>
      <c r="BC6" s="2"/>
      <c r="BD6" s="1158"/>
      <c r="BE6" s="1158"/>
      <c r="BF6" s="1158"/>
      <c r="BG6" s="1158"/>
      <c r="BH6" s="1158"/>
      <c r="BI6" s="1158"/>
      <c r="BJ6" s="1158"/>
      <c r="BK6" s="1158"/>
      <c r="BL6" s="2"/>
      <c r="BM6" s="1159"/>
      <c r="BN6" s="1159"/>
      <c r="BO6" s="1159"/>
      <c r="BP6" s="1159"/>
      <c r="BQ6" s="1159"/>
      <c r="BR6" s="1159"/>
      <c r="BS6" s="1159"/>
      <c r="BT6" s="1159"/>
      <c r="BU6" s="2"/>
      <c r="BV6" s="1135"/>
      <c r="BW6" s="1135"/>
      <c r="BX6" s="1135"/>
      <c r="BY6" s="1135"/>
      <c r="BZ6" s="1135"/>
      <c r="CA6" s="1135"/>
      <c r="CB6" s="1135"/>
      <c r="CC6" s="1135"/>
      <c r="CD6" s="2"/>
      <c r="CE6" s="2"/>
      <c r="CF6" s="2"/>
    </row>
    <row r="7" spans="1:84" ht="15" customHeight="1" x14ac:dyDescent="0.4">
      <c r="A7" s="2"/>
      <c r="B7" s="1136" t="s">
        <v>11</v>
      </c>
      <c r="C7" s="1136"/>
      <c r="D7" s="1136"/>
      <c r="E7" s="1136"/>
      <c r="F7" s="1136"/>
      <c r="G7" s="1136"/>
      <c r="H7" s="1136"/>
      <c r="I7" s="1136"/>
      <c r="J7" s="1136"/>
      <c r="K7" s="1136"/>
      <c r="L7" s="1136"/>
      <c r="M7" s="1136"/>
      <c r="N7" s="1136"/>
      <c r="O7" s="1136"/>
      <c r="P7" s="1136"/>
      <c r="Q7" s="1136"/>
      <c r="R7" s="1136"/>
      <c r="S7" s="1136"/>
      <c r="T7" s="1136"/>
      <c r="U7" s="1136"/>
      <c r="V7" s="1136"/>
      <c r="W7" s="1136"/>
      <c r="X7" s="1136"/>
      <c r="Y7" s="1136"/>
      <c r="Z7" s="1136"/>
      <c r="AA7" s="1136"/>
      <c r="AB7" s="1136"/>
      <c r="AC7" s="1136"/>
      <c r="AD7" s="1136"/>
      <c r="AE7" s="1136"/>
      <c r="AF7" s="1136"/>
      <c r="AG7" s="1136"/>
      <c r="AH7" s="1136"/>
      <c r="AI7" s="1136"/>
      <c r="AJ7" s="1136"/>
      <c r="AK7" s="1136"/>
      <c r="AL7" s="1136"/>
      <c r="AM7" s="1136"/>
      <c r="AN7" s="1136"/>
      <c r="AO7" s="1136"/>
      <c r="AP7" s="1136"/>
      <c r="AQ7" s="1136"/>
      <c r="AR7" s="1136"/>
      <c r="AS7" s="1136"/>
      <c r="AT7" s="1136"/>
      <c r="AU7" s="1136"/>
      <c r="AV7" s="1136"/>
      <c r="AW7" s="1136"/>
      <c r="AX7" s="1136"/>
      <c r="AY7" s="1136"/>
      <c r="AZ7" s="1136"/>
      <c r="BA7" s="1136"/>
      <c r="BB7" s="1136"/>
      <c r="BC7" s="1136"/>
      <c r="BD7" s="1136"/>
      <c r="BE7" s="1136"/>
      <c r="BF7" s="1136"/>
      <c r="BG7" s="1136"/>
      <c r="BH7" s="1136"/>
      <c r="BI7" s="1136"/>
      <c r="BJ7" s="1136"/>
      <c r="BK7" s="1136"/>
      <c r="BL7" s="1136"/>
      <c r="BM7" s="1136"/>
      <c r="BN7" s="1136"/>
      <c r="BO7" s="1136"/>
      <c r="BP7" s="1136"/>
      <c r="BQ7" s="1136"/>
      <c r="BR7" s="1136"/>
      <c r="BS7" s="1136"/>
      <c r="BT7" s="1136"/>
      <c r="BU7" s="1136"/>
      <c r="BV7" s="1136"/>
      <c r="BW7" s="1136"/>
      <c r="BX7" s="1136"/>
      <c r="BY7" s="1136"/>
      <c r="BZ7" s="1136"/>
      <c r="CA7" s="1136"/>
      <c r="CB7" s="1136"/>
      <c r="CC7" s="2"/>
      <c r="CD7" s="2"/>
      <c r="CE7" s="2"/>
      <c r="CF7" s="2"/>
    </row>
    <row r="8" spans="1:84" ht="15" customHeight="1" thickBot="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 ht="15" customHeight="1" x14ac:dyDescent="0.4">
      <c r="A9" s="2"/>
      <c r="B9" s="1137" t="s">
        <v>37</v>
      </c>
      <c r="C9" s="1137"/>
      <c r="D9" s="1137"/>
      <c r="E9" s="1137"/>
      <c r="F9" s="1137"/>
      <c r="G9" s="1138"/>
      <c r="H9" s="2"/>
      <c r="I9" s="2"/>
      <c r="J9" s="1107" t="s">
        <v>42</v>
      </c>
      <c r="K9" s="1108"/>
      <c r="L9" s="1108"/>
      <c r="M9" s="1108"/>
      <c r="N9" s="1108"/>
      <c r="O9" s="1108"/>
      <c r="P9" s="1108"/>
      <c r="Q9" s="1108"/>
      <c r="R9" s="1108"/>
      <c r="S9" s="1108"/>
      <c r="T9" s="1108"/>
      <c r="U9" s="1108"/>
      <c r="V9" s="1108"/>
      <c r="W9" s="1108"/>
      <c r="X9" s="1108"/>
      <c r="Y9" s="1108"/>
      <c r="Z9" s="1108"/>
      <c r="AA9" s="1108"/>
      <c r="AB9" s="1108"/>
      <c r="AC9" s="1109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1:84" ht="15" customHeight="1" x14ac:dyDescent="0.4">
      <c r="A10" s="2"/>
      <c r="B10" s="1137"/>
      <c r="C10" s="1137"/>
      <c r="D10" s="1137"/>
      <c r="E10" s="1137"/>
      <c r="F10" s="1137"/>
      <c r="G10" s="1138"/>
      <c r="H10" s="2"/>
      <c r="I10" s="2"/>
      <c r="J10" s="1110"/>
      <c r="K10" s="1111"/>
      <c r="L10" s="1111"/>
      <c r="M10" s="1111"/>
      <c r="N10" s="1111"/>
      <c r="O10" s="1111"/>
      <c r="P10" s="1111"/>
      <c r="Q10" s="1111"/>
      <c r="R10" s="1111"/>
      <c r="S10" s="1111"/>
      <c r="T10" s="1111"/>
      <c r="U10" s="1111"/>
      <c r="V10" s="1111"/>
      <c r="W10" s="1111"/>
      <c r="X10" s="1111"/>
      <c r="Y10" s="1111"/>
      <c r="Z10" s="1111"/>
      <c r="AA10" s="1111"/>
      <c r="AB10" s="1111"/>
      <c r="AC10" s="111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ht="15" customHeight="1" x14ac:dyDescent="0.4">
      <c r="A11" s="2"/>
      <c r="B11" s="1137"/>
      <c r="C11" s="1137"/>
      <c r="D11" s="1137"/>
      <c r="E11" s="1137"/>
      <c r="F11" s="1137"/>
      <c r="G11" s="1138"/>
      <c r="H11" s="2"/>
      <c r="I11" s="2"/>
      <c r="J11" s="1101" t="s">
        <v>43</v>
      </c>
      <c r="K11" s="1102"/>
      <c r="L11" s="1102"/>
      <c r="M11" s="1102"/>
      <c r="N11" s="1102"/>
      <c r="O11" s="1102"/>
      <c r="P11" s="1102"/>
      <c r="Q11" s="1102"/>
      <c r="R11" s="1102"/>
      <c r="S11" s="1102"/>
      <c r="T11" s="1102"/>
      <c r="U11" s="1102"/>
      <c r="V11" s="1102"/>
      <c r="W11" s="1102"/>
      <c r="X11" s="1102"/>
      <c r="Y11" s="1102"/>
      <c r="Z11" s="1102"/>
      <c r="AA11" s="1102"/>
      <c r="AB11" s="1102"/>
      <c r="AC11" s="1103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 ht="15" customHeight="1" x14ac:dyDescent="0.4">
      <c r="A12" s="2"/>
      <c r="B12" s="1137"/>
      <c r="C12" s="1137"/>
      <c r="D12" s="1137"/>
      <c r="E12" s="1137"/>
      <c r="F12" s="1137"/>
      <c r="G12" s="1138"/>
      <c r="H12" s="2"/>
      <c r="I12" s="2"/>
      <c r="J12" s="1101"/>
      <c r="K12" s="1102"/>
      <c r="L12" s="1102"/>
      <c r="M12" s="1102"/>
      <c r="N12" s="1102"/>
      <c r="O12" s="1102"/>
      <c r="P12" s="1102"/>
      <c r="Q12" s="1102"/>
      <c r="R12" s="1102"/>
      <c r="S12" s="1102"/>
      <c r="T12" s="1102"/>
      <c r="U12" s="1102"/>
      <c r="V12" s="1102"/>
      <c r="W12" s="1102"/>
      <c r="X12" s="1102"/>
      <c r="Y12" s="1102"/>
      <c r="Z12" s="1102"/>
      <c r="AA12" s="1102"/>
      <c r="AB12" s="1102"/>
      <c r="AC12" s="1103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 ht="15" customHeight="1" x14ac:dyDescent="0.4">
      <c r="A13" s="2"/>
      <c r="B13" s="1137"/>
      <c r="C13" s="1137"/>
      <c r="D13" s="1137"/>
      <c r="E13" s="1137"/>
      <c r="F13" s="1137"/>
      <c r="G13" s="1138"/>
      <c r="H13" s="2"/>
      <c r="I13" s="2"/>
      <c r="J13" s="1101"/>
      <c r="K13" s="1102"/>
      <c r="L13" s="1102"/>
      <c r="M13" s="1102"/>
      <c r="N13" s="1102"/>
      <c r="O13" s="1102"/>
      <c r="P13" s="1102"/>
      <c r="Q13" s="1102"/>
      <c r="R13" s="1102"/>
      <c r="S13" s="1102"/>
      <c r="T13" s="1102"/>
      <c r="U13" s="1102"/>
      <c r="V13" s="1102"/>
      <c r="W13" s="1102"/>
      <c r="X13" s="1102"/>
      <c r="Y13" s="1102"/>
      <c r="Z13" s="1102"/>
      <c r="AA13" s="1102"/>
      <c r="AB13" s="1102"/>
      <c r="AC13" s="1103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spans="1:84" ht="15" customHeight="1" x14ac:dyDescent="0.4">
      <c r="A14" s="2"/>
      <c r="B14" s="1137"/>
      <c r="C14" s="1137"/>
      <c r="D14" s="1137"/>
      <c r="E14" s="1137"/>
      <c r="F14" s="1137"/>
      <c r="G14" s="1138"/>
      <c r="H14" s="2"/>
      <c r="I14" s="2"/>
      <c r="J14" s="1101"/>
      <c r="K14" s="1102"/>
      <c r="L14" s="1102"/>
      <c r="M14" s="1102"/>
      <c r="N14" s="1102"/>
      <c r="O14" s="1102"/>
      <c r="P14" s="1102"/>
      <c r="Q14" s="1102"/>
      <c r="R14" s="1102"/>
      <c r="S14" s="1102"/>
      <c r="T14" s="1102"/>
      <c r="U14" s="1102"/>
      <c r="V14" s="1102"/>
      <c r="W14" s="1102"/>
      <c r="X14" s="1102"/>
      <c r="Y14" s="1102"/>
      <c r="Z14" s="1102"/>
      <c r="AA14" s="1102"/>
      <c r="AB14" s="1102"/>
      <c r="AC14" s="1103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</row>
    <row r="15" spans="1:84" ht="15" customHeight="1" thickBot="1" x14ac:dyDescent="0.45">
      <c r="A15" s="2"/>
      <c r="B15" s="1137"/>
      <c r="C15" s="1137"/>
      <c r="D15" s="1137"/>
      <c r="E15" s="1137"/>
      <c r="F15" s="1137"/>
      <c r="G15" s="1138"/>
      <c r="H15" s="2"/>
      <c r="I15" s="2"/>
      <c r="J15" s="1104"/>
      <c r="K15" s="1105"/>
      <c r="L15" s="1105"/>
      <c r="M15" s="1105"/>
      <c r="N15" s="1105"/>
      <c r="O15" s="1105"/>
      <c r="P15" s="1105"/>
      <c r="Q15" s="1105"/>
      <c r="R15" s="1105"/>
      <c r="S15" s="1105"/>
      <c r="T15" s="1105"/>
      <c r="U15" s="1105"/>
      <c r="V15" s="1105"/>
      <c r="W15" s="1105"/>
      <c r="X15" s="1105"/>
      <c r="Y15" s="1105"/>
      <c r="Z15" s="1105"/>
      <c r="AA15" s="1105"/>
      <c r="AB15" s="1105"/>
      <c r="AC15" s="1106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1:84" ht="15" customHeight="1" x14ac:dyDescent="0.4">
      <c r="A16" s="2"/>
      <c r="B16" s="1137"/>
      <c r="C16" s="1137"/>
      <c r="D16" s="1137"/>
      <c r="E16" s="1137"/>
      <c r="F16" s="1137"/>
      <c r="G16" s="113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1:84" ht="15" customHeight="1" thickBot="1" x14ac:dyDescent="0.45">
      <c r="A17" s="2"/>
      <c r="B17" s="1137"/>
      <c r="C17" s="1137"/>
      <c r="D17" s="1137"/>
      <c r="E17" s="1137"/>
      <c r="F17" s="1137"/>
      <c r="G17" s="113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 ht="15" customHeight="1" x14ac:dyDescent="0.4">
      <c r="A18" s="2"/>
      <c r="B18" s="1137"/>
      <c r="C18" s="1137"/>
      <c r="D18" s="1137"/>
      <c r="E18" s="1137"/>
      <c r="F18" s="1137"/>
      <c r="G18" s="1138"/>
      <c r="H18" s="2"/>
      <c r="I18" s="2"/>
      <c r="J18" s="1170" t="s">
        <v>44</v>
      </c>
      <c r="K18" s="1171"/>
      <c r="L18" s="1171"/>
      <c r="M18" s="1171"/>
      <c r="N18" s="1171"/>
      <c r="O18" s="1171"/>
      <c r="P18" s="1171"/>
      <c r="Q18" s="1171"/>
      <c r="R18" s="1171"/>
      <c r="S18" s="1171"/>
      <c r="T18" s="1171"/>
      <c r="U18" s="1171"/>
      <c r="V18" s="1171"/>
      <c r="W18" s="1171"/>
      <c r="X18" s="1171"/>
      <c r="Y18" s="1171"/>
      <c r="Z18" s="1171"/>
      <c r="AA18" s="1171"/>
      <c r="AB18" s="1171"/>
      <c r="AC18" s="117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1:84" ht="15" customHeight="1" x14ac:dyDescent="0.4">
      <c r="A19" s="2"/>
      <c r="B19" s="1137"/>
      <c r="C19" s="1137"/>
      <c r="D19" s="1137"/>
      <c r="E19" s="1137"/>
      <c r="F19" s="1137"/>
      <c r="G19" s="1138"/>
      <c r="H19" s="2"/>
      <c r="I19" s="2"/>
      <c r="J19" s="1173"/>
      <c r="K19" s="1174"/>
      <c r="L19" s="1174"/>
      <c r="M19" s="1174"/>
      <c r="N19" s="1174"/>
      <c r="O19" s="1174"/>
      <c r="P19" s="1174"/>
      <c r="Q19" s="1174"/>
      <c r="R19" s="1174"/>
      <c r="S19" s="1174"/>
      <c r="T19" s="1174"/>
      <c r="U19" s="1174"/>
      <c r="V19" s="1174"/>
      <c r="W19" s="1174"/>
      <c r="X19" s="1174"/>
      <c r="Y19" s="1174"/>
      <c r="Z19" s="1174"/>
      <c r="AA19" s="1174"/>
      <c r="AB19" s="1174"/>
      <c r="AC19" s="1175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1:84" ht="15" customHeight="1" x14ac:dyDescent="0.4">
      <c r="A20" s="2"/>
      <c r="B20" s="1137"/>
      <c r="C20" s="1137"/>
      <c r="D20" s="1137"/>
      <c r="E20" s="1137"/>
      <c r="F20" s="1137"/>
      <c r="G20" s="1138"/>
      <c r="H20" s="2"/>
      <c r="I20" s="2"/>
      <c r="J20" s="1160" t="s">
        <v>45</v>
      </c>
      <c r="K20" s="1102"/>
      <c r="L20" s="1102"/>
      <c r="M20" s="1102"/>
      <c r="N20" s="1102"/>
      <c r="O20" s="1102"/>
      <c r="P20" s="1102"/>
      <c r="Q20" s="1102"/>
      <c r="R20" s="1102"/>
      <c r="S20" s="1102"/>
      <c r="T20" s="1102"/>
      <c r="U20" s="1102"/>
      <c r="V20" s="1102"/>
      <c r="W20" s="1102"/>
      <c r="X20" s="1102"/>
      <c r="Y20" s="1102"/>
      <c r="Z20" s="1102"/>
      <c r="AA20" s="1102"/>
      <c r="AB20" s="1102"/>
      <c r="AC20" s="1161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 ht="15" customHeight="1" x14ac:dyDescent="0.4">
      <c r="A21" s="2"/>
      <c r="B21" s="1137"/>
      <c r="C21" s="1137"/>
      <c r="D21" s="1137"/>
      <c r="E21" s="1137"/>
      <c r="F21" s="1137"/>
      <c r="G21" s="1138"/>
      <c r="H21" s="2"/>
      <c r="I21" s="2"/>
      <c r="J21" s="1160"/>
      <c r="K21" s="1102"/>
      <c r="L21" s="1102"/>
      <c r="M21" s="1102"/>
      <c r="N21" s="1102"/>
      <c r="O21" s="1102"/>
      <c r="P21" s="1102"/>
      <c r="Q21" s="1102"/>
      <c r="R21" s="1102"/>
      <c r="S21" s="1102"/>
      <c r="T21" s="1102"/>
      <c r="U21" s="1102"/>
      <c r="V21" s="1102"/>
      <c r="W21" s="1102"/>
      <c r="X21" s="1102"/>
      <c r="Y21" s="1102"/>
      <c r="Z21" s="1102"/>
      <c r="AA21" s="1102"/>
      <c r="AB21" s="1102"/>
      <c r="AC21" s="1161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 ht="15" customHeight="1" x14ac:dyDescent="0.4">
      <c r="A22" s="2"/>
      <c r="B22" s="1137"/>
      <c r="C22" s="1137"/>
      <c r="D22" s="1137"/>
      <c r="E22" s="1137"/>
      <c r="F22" s="1137"/>
      <c r="G22" s="1138"/>
      <c r="H22" s="2"/>
      <c r="I22" s="2"/>
      <c r="J22" s="1160"/>
      <c r="K22" s="1102"/>
      <c r="L22" s="1102"/>
      <c r="M22" s="1102"/>
      <c r="N22" s="1102"/>
      <c r="O22" s="1102"/>
      <c r="P22" s="1102"/>
      <c r="Q22" s="1102"/>
      <c r="R22" s="1102"/>
      <c r="S22" s="1102"/>
      <c r="T22" s="1102"/>
      <c r="U22" s="1102"/>
      <c r="V22" s="1102"/>
      <c r="W22" s="1102"/>
      <c r="X22" s="1102"/>
      <c r="Y22" s="1102"/>
      <c r="Z22" s="1102"/>
      <c r="AA22" s="1102"/>
      <c r="AB22" s="1102"/>
      <c r="AC22" s="1161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ht="15" customHeight="1" x14ac:dyDescent="0.4">
      <c r="A23" s="2"/>
      <c r="B23" s="1137"/>
      <c r="C23" s="1137"/>
      <c r="D23" s="1137"/>
      <c r="E23" s="1137"/>
      <c r="F23" s="1137"/>
      <c r="G23" s="1138"/>
      <c r="H23" s="2"/>
      <c r="I23" s="2"/>
      <c r="J23" s="1160"/>
      <c r="K23" s="1102"/>
      <c r="L23" s="1102"/>
      <c r="M23" s="1102"/>
      <c r="N23" s="1102"/>
      <c r="O23" s="1102"/>
      <c r="P23" s="1102"/>
      <c r="Q23" s="1102"/>
      <c r="R23" s="1102"/>
      <c r="S23" s="1102"/>
      <c r="T23" s="1102"/>
      <c r="U23" s="1102"/>
      <c r="V23" s="1102"/>
      <c r="W23" s="1102"/>
      <c r="X23" s="1102"/>
      <c r="Y23" s="1102"/>
      <c r="Z23" s="1102"/>
      <c r="AA23" s="1102"/>
      <c r="AB23" s="1102"/>
      <c r="AC23" s="1161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ht="15" customHeight="1" thickBot="1" x14ac:dyDescent="0.45">
      <c r="A24" s="2"/>
      <c r="B24" s="1137"/>
      <c r="C24" s="1137"/>
      <c r="D24" s="1137"/>
      <c r="E24" s="1137"/>
      <c r="F24" s="1137"/>
      <c r="G24" s="1138"/>
      <c r="H24" s="2"/>
      <c r="I24" s="2"/>
      <c r="J24" s="1162"/>
      <c r="K24" s="1163"/>
      <c r="L24" s="1163"/>
      <c r="M24" s="1163"/>
      <c r="N24" s="1163"/>
      <c r="O24" s="1163"/>
      <c r="P24" s="1163"/>
      <c r="Q24" s="1163"/>
      <c r="R24" s="1163"/>
      <c r="S24" s="1163"/>
      <c r="T24" s="1163"/>
      <c r="U24" s="1163"/>
      <c r="V24" s="1163"/>
      <c r="W24" s="1163"/>
      <c r="X24" s="1163"/>
      <c r="Y24" s="1163"/>
      <c r="Z24" s="1163"/>
      <c r="AA24" s="1163"/>
      <c r="AB24" s="1163"/>
      <c r="AC24" s="1164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ht="15" customHeight="1" x14ac:dyDescent="0.4">
      <c r="A25" s="2"/>
      <c r="B25" s="1137"/>
      <c r="C25" s="1137"/>
      <c r="D25" s="1137"/>
      <c r="E25" s="1137"/>
      <c r="F25" s="1137"/>
      <c r="G25" s="113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ht="15" customHeight="1" thickBot="1" x14ac:dyDescent="0.45">
      <c r="A26" s="2"/>
      <c r="B26" s="1137"/>
      <c r="C26" s="1137"/>
      <c r="D26" s="1137"/>
      <c r="E26" s="1137"/>
      <c r="F26" s="1137"/>
      <c r="G26" s="113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ht="15" customHeight="1" x14ac:dyDescent="0.4">
      <c r="A27" s="2"/>
      <c r="B27" s="1137"/>
      <c r="C27" s="1137"/>
      <c r="D27" s="1137"/>
      <c r="E27" s="1137"/>
      <c r="F27" s="1137"/>
      <c r="G27" s="1138"/>
      <c r="H27" s="2"/>
      <c r="I27" s="2"/>
      <c r="J27" s="1113" t="s">
        <v>46</v>
      </c>
      <c r="K27" s="1114"/>
      <c r="L27" s="1114"/>
      <c r="M27" s="1114"/>
      <c r="N27" s="1114"/>
      <c r="O27" s="1114"/>
      <c r="P27" s="1114"/>
      <c r="Q27" s="1114"/>
      <c r="R27" s="1114"/>
      <c r="S27" s="1114"/>
      <c r="T27" s="1114"/>
      <c r="U27" s="1114"/>
      <c r="V27" s="1114"/>
      <c r="W27" s="1114"/>
      <c r="X27" s="1114"/>
      <c r="Y27" s="1114"/>
      <c r="Z27" s="1114"/>
      <c r="AA27" s="1114"/>
      <c r="AB27" s="1114"/>
      <c r="AC27" s="1115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ht="15" customHeight="1" x14ac:dyDescent="0.4">
      <c r="A28" s="2"/>
      <c r="B28" s="1137"/>
      <c r="C28" s="1137"/>
      <c r="D28" s="1137"/>
      <c r="E28" s="1137"/>
      <c r="F28" s="1137"/>
      <c r="G28" s="1138"/>
      <c r="H28" s="2"/>
      <c r="I28" s="2"/>
      <c r="J28" s="1116"/>
      <c r="K28" s="1117"/>
      <c r="L28" s="1117"/>
      <c r="M28" s="1117"/>
      <c r="N28" s="1117"/>
      <c r="O28" s="1117"/>
      <c r="P28" s="1117"/>
      <c r="Q28" s="1117"/>
      <c r="R28" s="1117"/>
      <c r="S28" s="1117"/>
      <c r="T28" s="1117"/>
      <c r="U28" s="1117"/>
      <c r="V28" s="1117"/>
      <c r="W28" s="1117"/>
      <c r="X28" s="1117"/>
      <c r="Y28" s="1117"/>
      <c r="Z28" s="1117"/>
      <c r="AA28" s="1117"/>
      <c r="AB28" s="1117"/>
      <c r="AC28" s="1118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ht="15" customHeight="1" x14ac:dyDescent="0.4">
      <c r="A29" s="2"/>
      <c r="B29" s="1137"/>
      <c r="C29" s="1137"/>
      <c r="D29" s="1137"/>
      <c r="E29" s="1137"/>
      <c r="F29" s="1137"/>
      <c r="G29" s="1138"/>
      <c r="H29" s="2"/>
      <c r="I29" s="2"/>
      <c r="J29" s="1119" t="s">
        <v>47</v>
      </c>
      <c r="K29" s="1102"/>
      <c r="L29" s="1102"/>
      <c r="M29" s="1102"/>
      <c r="N29" s="1102"/>
      <c r="O29" s="1102"/>
      <c r="P29" s="1102"/>
      <c r="Q29" s="1102"/>
      <c r="R29" s="1102"/>
      <c r="S29" s="1102"/>
      <c r="T29" s="1102"/>
      <c r="U29" s="1102"/>
      <c r="V29" s="1102"/>
      <c r="W29" s="1102"/>
      <c r="X29" s="1102"/>
      <c r="Y29" s="1102"/>
      <c r="Z29" s="1102"/>
      <c r="AA29" s="1102"/>
      <c r="AB29" s="1102"/>
      <c r="AC29" s="1120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ht="15" customHeight="1" x14ac:dyDescent="0.4">
      <c r="A30" s="2"/>
      <c r="B30" s="1137"/>
      <c r="C30" s="1137"/>
      <c r="D30" s="1137"/>
      <c r="E30" s="1137"/>
      <c r="F30" s="1137"/>
      <c r="G30" s="1138"/>
      <c r="H30" s="2"/>
      <c r="I30" s="2"/>
      <c r="J30" s="1119"/>
      <c r="K30" s="1102"/>
      <c r="L30" s="1102"/>
      <c r="M30" s="1102"/>
      <c r="N30" s="1102"/>
      <c r="O30" s="1102"/>
      <c r="P30" s="1102"/>
      <c r="Q30" s="1102"/>
      <c r="R30" s="1102"/>
      <c r="S30" s="1102"/>
      <c r="T30" s="1102"/>
      <c r="U30" s="1102"/>
      <c r="V30" s="1102"/>
      <c r="W30" s="1102"/>
      <c r="X30" s="1102"/>
      <c r="Y30" s="1102"/>
      <c r="Z30" s="1102"/>
      <c r="AA30" s="1102"/>
      <c r="AB30" s="1102"/>
      <c r="AC30" s="1120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ht="15" customHeight="1" x14ac:dyDescent="0.4">
      <c r="A31" s="2"/>
      <c r="B31" s="1137"/>
      <c r="C31" s="1137"/>
      <c r="D31" s="1137"/>
      <c r="E31" s="1137"/>
      <c r="F31" s="1137"/>
      <c r="G31" s="1138"/>
      <c r="H31" s="2"/>
      <c r="I31" s="2"/>
      <c r="J31" s="1119"/>
      <c r="K31" s="1102"/>
      <c r="L31" s="1102"/>
      <c r="M31" s="1102"/>
      <c r="N31" s="1102"/>
      <c r="O31" s="1102"/>
      <c r="P31" s="1102"/>
      <c r="Q31" s="1102"/>
      <c r="R31" s="1102"/>
      <c r="S31" s="1102"/>
      <c r="T31" s="1102"/>
      <c r="U31" s="1102"/>
      <c r="V31" s="1102"/>
      <c r="W31" s="1102"/>
      <c r="X31" s="1102"/>
      <c r="Y31" s="1102"/>
      <c r="Z31" s="1102"/>
      <c r="AA31" s="1102"/>
      <c r="AB31" s="1102"/>
      <c r="AC31" s="1120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ht="15" customHeight="1" x14ac:dyDescent="0.4">
      <c r="A32" s="2"/>
      <c r="B32" s="1137"/>
      <c r="C32" s="1137"/>
      <c r="D32" s="1137"/>
      <c r="E32" s="1137"/>
      <c r="F32" s="1137"/>
      <c r="G32" s="1138"/>
      <c r="H32" s="2"/>
      <c r="I32" s="2"/>
      <c r="J32" s="1119"/>
      <c r="K32" s="1102"/>
      <c r="L32" s="1102"/>
      <c r="M32" s="1102"/>
      <c r="N32" s="1102"/>
      <c r="O32" s="1102"/>
      <c r="P32" s="1102"/>
      <c r="Q32" s="1102"/>
      <c r="R32" s="1102"/>
      <c r="S32" s="1102"/>
      <c r="T32" s="1102"/>
      <c r="U32" s="1102"/>
      <c r="V32" s="1102"/>
      <c r="W32" s="1102"/>
      <c r="X32" s="1102"/>
      <c r="Y32" s="1102"/>
      <c r="Z32" s="1102"/>
      <c r="AA32" s="1102"/>
      <c r="AB32" s="1102"/>
      <c r="AC32" s="1120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ht="15" customHeight="1" thickBot="1" x14ac:dyDescent="0.45">
      <c r="A33" s="2"/>
      <c r="B33" s="1137"/>
      <c r="C33" s="1137"/>
      <c r="D33" s="1137"/>
      <c r="E33" s="1137"/>
      <c r="F33" s="1137"/>
      <c r="G33" s="1138"/>
      <c r="H33" s="2"/>
      <c r="I33" s="2"/>
      <c r="J33" s="1121"/>
      <c r="K33" s="1122"/>
      <c r="L33" s="1122"/>
      <c r="M33" s="1122"/>
      <c r="N33" s="1122"/>
      <c r="O33" s="1122"/>
      <c r="P33" s="1122"/>
      <c r="Q33" s="1122"/>
      <c r="R33" s="1122"/>
      <c r="S33" s="1122"/>
      <c r="T33" s="1122"/>
      <c r="U33" s="1122"/>
      <c r="V33" s="1122"/>
      <c r="W33" s="1122"/>
      <c r="X33" s="1122"/>
      <c r="Y33" s="1122"/>
      <c r="Z33" s="1122"/>
      <c r="AA33" s="1122"/>
      <c r="AB33" s="1122"/>
      <c r="AC33" s="1123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1:84" ht="15" customHeight="1" x14ac:dyDescent="0.4">
      <c r="A34" s="2"/>
      <c r="B34" s="1137"/>
      <c r="C34" s="1137"/>
      <c r="D34" s="1137"/>
      <c r="E34" s="1137"/>
      <c r="F34" s="1137"/>
      <c r="G34" s="113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spans="1:84" ht="15" customHeight="1" thickBot="1" x14ac:dyDescent="0.45">
      <c r="A35" s="2"/>
      <c r="B35" s="1137"/>
      <c r="C35" s="1137"/>
      <c r="D35" s="1137"/>
      <c r="E35" s="1137"/>
      <c r="F35" s="1137"/>
      <c r="G35" s="113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spans="1:84" ht="15" customHeight="1" x14ac:dyDescent="0.4">
      <c r="A36" s="2"/>
      <c r="B36" s="1137"/>
      <c r="C36" s="1137"/>
      <c r="D36" s="1137"/>
      <c r="E36" s="1137"/>
      <c r="F36" s="1137"/>
      <c r="G36" s="1138"/>
      <c r="H36" s="2"/>
      <c r="I36" s="2"/>
      <c r="J36" s="1204" t="s">
        <v>48</v>
      </c>
      <c r="K36" s="1205"/>
      <c r="L36" s="1205"/>
      <c r="M36" s="1205"/>
      <c r="N36" s="1205"/>
      <c r="O36" s="1205"/>
      <c r="P36" s="1205"/>
      <c r="Q36" s="1205"/>
      <c r="R36" s="1205"/>
      <c r="S36" s="1205"/>
      <c r="T36" s="1205"/>
      <c r="U36" s="1205"/>
      <c r="V36" s="1205"/>
      <c r="W36" s="1205"/>
      <c r="X36" s="1205"/>
      <c r="Y36" s="1205"/>
      <c r="Z36" s="1205"/>
      <c r="AA36" s="1205"/>
      <c r="AB36" s="1205"/>
      <c r="AC36" s="120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spans="1:84" ht="15" customHeight="1" x14ac:dyDescent="0.4">
      <c r="A37" s="2"/>
      <c r="B37" s="1137"/>
      <c r="C37" s="1137"/>
      <c r="D37" s="1137"/>
      <c r="E37" s="1137"/>
      <c r="F37" s="1137"/>
      <c r="G37" s="1138"/>
      <c r="H37" s="2"/>
      <c r="I37" s="2"/>
      <c r="J37" s="1207"/>
      <c r="K37" s="1208"/>
      <c r="L37" s="1208"/>
      <c r="M37" s="1208"/>
      <c r="N37" s="1208"/>
      <c r="O37" s="1208"/>
      <c r="P37" s="1208"/>
      <c r="Q37" s="1208"/>
      <c r="R37" s="1208"/>
      <c r="S37" s="1208"/>
      <c r="T37" s="1208"/>
      <c r="U37" s="1208"/>
      <c r="V37" s="1208"/>
      <c r="W37" s="1208"/>
      <c r="X37" s="1208"/>
      <c r="Y37" s="1208"/>
      <c r="Z37" s="1208"/>
      <c r="AA37" s="1208"/>
      <c r="AB37" s="1208"/>
      <c r="AC37" s="120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spans="1:84" ht="15" customHeight="1" x14ac:dyDescent="0.4">
      <c r="A38" s="2"/>
      <c r="B38" s="1137"/>
      <c r="C38" s="1137"/>
      <c r="D38" s="1137"/>
      <c r="E38" s="1137"/>
      <c r="F38" s="1137"/>
      <c r="G38" s="1138"/>
      <c r="H38" s="2"/>
      <c r="I38" s="2"/>
      <c r="J38" s="1210" t="s">
        <v>49</v>
      </c>
      <c r="K38" s="1102"/>
      <c r="L38" s="1102"/>
      <c r="M38" s="1102"/>
      <c r="N38" s="1102"/>
      <c r="O38" s="1102"/>
      <c r="P38" s="1102"/>
      <c r="Q38" s="1102"/>
      <c r="R38" s="1102"/>
      <c r="S38" s="1102"/>
      <c r="T38" s="1102"/>
      <c r="U38" s="1102"/>
      <c r="V38" s="1102"/>
      <c r="W38" s="1102"/>
      <c r="X38" s="1102"/>
      <c r="Y38" s="1102"/>
      <c r="Z38" s="1102"/>
      <c r="AA38" s="1102"/>
      <c r="AB38" s="1102"/>
      <c r="AC38" s="121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 ht="15" customHeight="1" x14ac:dyDescent="0.4">
      <c r="A39" s="2"/>
      <c r="B39" s="1137"/>
      <c r="C39" s="1137"/>
      <c r="D39" s="1137"/>
      <c r="E39" s="1137"/>
      <c r="F39" s="1137"/>
      <c r="G39" s="1138"/>
      <c r="H39" s="2"/>
      <c r="I39" s="2"/>
      <c r="J39" s="1210"/>
      <c r="K39" s="1102"/>
      <c r="L39" s="1102"/>
      <c r="M39" s="1102"/>
      <c r="N39" s="1102"/>
      <c r="O39" s="1102"/>
      <c r="P39" s="1102"/>
      <c r="Q39" s="1102"/>
      <c r="R39" s="1102"/>
      <c r="S39" s="1102"/>
      <c r="T39" s="1102"/>
      <c r="U39" s="1102"/>
      <c r="V39" s="1102"/>
      <c r="W39" s="1102"/>
      <c r="X39" s="1102"/>
      <c r="Y39" s="1102"/>
      <c r="Z39" s="1102"/>
      <c r="AA39" s="1102"/>
      <c r="AB39" s="1102"/>
      <c r="AC39" s="121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ht="15" customHeight="1" x14ac:dyDescent="0.4">
      <c r="A40" s="2"/>
      <c r="B40" s="1137"/>
      <c r="C40" s="1137"/>
      <c r="D40" s="1137"/>
      <c r="E40" s="1137"/>
      <c r="F40" s="1137"/>
      <c r="G40" s="1138"/>
      <c r="H40" s="2"/>
      <c r="I40" s="2"/>
      <c r="J40" s="1210"/>
      <c r="K40" s="1102"/>
      <c r="L40" s="1102"/>
      <c r="M40" s="1102"/>
      <c r="N40" s="1102"/>
      <c r="O40" s="1102"/>
      <c r="P40" s="1102"/>
      <c r="Q40" s="1102"/>
      <c r="R40" s="1102"/>
      <c r="S40" s="1102"/>
      <c r="T40" s="1102"/>
      <c r="U40" s="1102"/>
      <c r="V40" s="1102"/>
      <c r="W40" s="1102"/>
      <c r="X40" s="1102"/>
      <c r="Y40" s="1102"/>
      <c r="Z40" s="1102"/>
      <c r="AA40" s="1102"/>
      <c r="AB40" s="1102"/>
      <c r="AC40" s="121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1:84" ht="15" customHeight="1" x14ac:dyDescent="0.4">
      <c r="A41" s="2"/>
      <c r="B41" s="1137"/>
      <c r="C41" s="1137"/>
      <c r="D41" s="1137"/>
      <c r="E41" s="1137"/>
      <c r="F41" s="1137"/>
      <c r="G41" s="1138"/>
      <c r="H41" s="2"/>
      <c r="I41" s="2"/>
      <c r="J41" s="1210"/>
      <c r="K41" s="1102"/>
      <c r="L41" s="1102"/>
      <c r="M41" s="1102"/>
      <c r="N41" s="1102"/>
      <c r="O41" s="1102"/>
      <c r="P41" s="1102"/>
      <c r="Q41" s="1102"/>
      <c r="R41" s="1102"/>
      <c r="S41" s="1102"/>
      <c r="T41" s="1102"/>
      <c r="U41" s="1102"/>
      <c r="V41" s="1102"/>
      <c r="W41" s="1102"/>
      <c r="X41" s="1102"/>
      <c r="Y41" s="1102"/>
      <c r="Z41" s="1102"/>
      <c r="AA41" s="1102"/>
      <c r="AB41" s="1102"/>
      <c r="AC41" s="121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1:84" ht="15" customHeight="1" thickBot="1" x14ac:dyDescent="0.45">
      <c r="A42" s="2"/>
      <c r="B42" s="1137"/>
      <c r="C42" s="1137"/>
      <c r="D42" s="1137"/>
      <c r="E42" s="1137"/>
      <c r="F42" s="1137"/>
      <c r="G42" s="1138"/>
      <c r="H42" s="2"/>
      <c r="I42" s="2"/>
      <c r="J42" s="1212"/>
      <c r="K42" s="1213"/>
      <c r="L42" s="1213"/>
      <c r="M42" s="1213"/>
      <c r="N42" s="1213"/>
      <c r="O42" s="1213"/>
      <c r="P42" s="1213"/>
      <c r="Q42" s="1213"/>
      <c r="R42" s="1213"/>
      <c r="S42" s="1213"/>
      <c r="T42" s="1213"/>
      <c r="U42" s="1213"/>
      <c r="V42" s="1213"/>
      <c r="W42" s="1213"/>
      <c r="X42" s="1213"/>
      <c r="Y42" s="1213"/>
      <c r="Z42" s="1213"/>
      <c r="AA42" s="1213"/>
      <c r="AB42" s="1213"/>
      <c r="AC42" s="121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 ht="15" customHeight="1" x14ac:dyDescent="0.4">
      <c r="A43" s="2"/>
      <c r="B43" s="1137"/>
      <c r="C43" s="1137"/>
      <c r="D43" s="1137"/>
      <c r="E43" s="1137"/>
      <c r="F43" s="1137"/>
      <c r="G43" s="113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 ht="15" customHeight="1" thickBot="1" x14ac:dyDescent="0.45">
      <c r="A44" s="2"/>
      <c r="B44" s="1137"/>
      <c r="C44" s="1137"/>
      <c r="D44" s="1137"/>
      <c r="E44" s="1137"/>
      <c r="F44" s="1137"/>
      <c r="G44" s="113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 ht="15" customHeight="1" x14ac:dyDescent="0.4">
      <c r="A45" s="2"/>
      <c r="B45" s="1137"/>
      <c r="C45" s="1137"/>
      <c r="D45" s="1137"/>
      <c r="E45" s="1137"/>
      <c r="F45" s="1137"/>
      <c r="G45" s="1138"/>
      <c r="H45" s="2"/>
      <c r="I45" s="2"/>
      <c r="J45" s="1176" t="s">
        <v>50</v>
      </c>
      <c r="K45" s="1177"/>
      <c r="L45" s="1177"/>
      <c r="M45" s="1177"/>
      <c r="N45" s="1177"/>
      <c r="O45" s="1177"/>
      <c r="P45" s="1177"/>
      <c r="Q45" s="1177"/>
      <c r="R45" s="1177"/>
      <c r="S45" s="1177"/>
      <c r="T45" s="1177"/>
      <c r="U45" s="1177"/>
      <c r="V45" s="1177"/>
      <c r="W45" s="1177"/>
      <c r="X45" s="1177"/>
      <c r="Y45" s="1177"/>
      <c r="Z45" s="1177"/>
      <c r="AA45" s="1177"/>
      <c r="AB45" s="1177"/>
      <c r="AC45" s="117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ht="15" customHeight="1" x14ac:dyDescent="0.4">
      <c r="A46" s="2"/>
      <c r="B46" s="1137"/>
      <c r="C46" s="1137"/>
      <c r="D46" s="1137"/>
      <c r="E46" s="1137"/>
      <c r="F46" s="1137"/>
      <c r="G46" s="1138"/>
      <c r="H46" s="2"/>
      <c r="I46" s="2"/>
      <c r="J46" s="1179"/>
      <c r="K46" s="1180"/>
      <c r="L46" s="1180"/>
      <c r="M46" s="1180"/>
      <c r="N46" s="1180"/>
      <c r="O46" s="1180"/>
      <c r="P46" s="1180"/>
      <c r="Q46" s="1180"/>
      <c r="R46" s="1180"/>
      <c r="S46" s="1180"/>
      <c r="T46" s="1180"/>
      <c r="U46" s="1180"/>
      <c r="V46" s="1180"/>
      <c r="W46" s="1180"/>
      <c r="X46" s="1180"/>
      <c r="Y46" s="1180"/>
      <c r="Z46" s="1180"/>
      <c r="AA46" s="1180"/>
      <c r="AB46" s="1180"/>
      <c r="AC46" s="118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ht="15" customHeight="1" x14ac:dyDescent="0.4">
      <c r="A47" s="2"/>
      <c r="B47" s="1137"/>
      <c r="C47" s="1137"/>
      <c r="D47" s="1137"/>
      <c r="E47" s="1137"/>
      <c r="F47" s="1137"/>
      <c r="G47" s="1138"/>
      <c r="H47" s="2"/>
      <c r="I47" s="2"/>
      <c r="J47" s="1182" t="s">
        <v>51</v>
      </c>
      <c r="K47" s="1102"/>
      <c r="L47" s="1102"/>
      <c r="M47" s="1102"/>
      <c r="N47" s="1102"/>
      <c r="O47" s="1102"/>
      <c r="P47" s="1102"/>
      <c r="Q47" s="1102"/>
      <c r="R47" s="1102"/>
      <c r="S47" s="1102"/>
      <c r="T47" s="1102"/>
      <c r="U47" s="1102"/>
      <c r="V47" s="1102"/>
      <c r="W47" s="1102"/>
      <c r="X47" s="1102"/>
      <c r="Y47" s="1102"/>
      <c r="Z47" s="1102"/>
      <c r="AA47" s="1102"/>
      <c r="AB47" s="1102"/>
      <c r="AC47" s="118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ht="15" customHeight="1" x14ac:dyDescent="0.4">
      <c r="A48" s="2"/>
      <c r="B48" s="1137"/>
      <c r="C48" s="1137"/>
      <c r="D48" s="1137"/>
      <c r="E48" s="1137"/>
      <c r="F48" s="1137"/>
      <c r="G48" s="1138"/>
      <c r="H48" s="2"/>
      <c r="I48" s="2"/>
      <c r="J48" s="1182"/>
      <c r="K48" s="1102"/>
      <c r="L48" s="1102"/>
      <c r="M48" s="1102"/>
      <c r="N48" s="1102"/>
      <c r="O48" s="1102"/>
      <c r="P48" s="1102"/>
      <c r="Q48" s="1102"/>
      <c r="R48" s="1102"/>
      <c r="S48" s="1102"/>
      <c r="T48" s="1102"/>
      <c r="U48" s="1102"/>
      <c r="V48" s="1102"/>
      <c r="W48" s="1102"/>
      <c r="X48" s="1102"/>
      <c r="Y48" s="1102"/>
      <c r="Z48" s="1102"/>
      <c r="AA48" s="1102"/>
      <c r="AB48" s="1102"/>
      <c r="AC48" s="1183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84" ht="15" customHeight="1" x14ac:dyDescent="0.4">
      <c r="A49" s="2"/>
      <c r="B49" s="1137"/>
      <c r="C49" s="1137"/>
      <c r="D49" s="1137"/>
      <c r="E49" s="1137"/>
      <c r="F49" s="1137"/>
      <c r="G49" s="1138"/>
      <c r="H49" s="2"/>
      <c r="I49" s="2"/>
      <c r="J49" s="1182"/>
      <c r="K49" s="1102"/>
      <c r="L49" s="1102"/>
      <c r="M49" s="1102"/>
      <c r="N49" s="1102"/>
      <c r="O49" s="1102"/>
      <c r="P49" s="1102"/>
      <c r="Q49" s="1102"/>
      <c r="R49" s="1102"/>
      <c r="S49" s="1102"/>
      <c r="T49" s="1102"/>
      <c r="U49" s="1102"/>
      <c r="V49" s="1102"/>
      <c r="W49" s="1102"/>
      <c r="X49" s="1102"/>
      <c r="Y49" s="1102"/>
      <c r="Z49" s="1102"/>
      <c r="AA49" s="1102"/>
      <c r="AB49" s="1102"/>
      <c r="AC49" s="1183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84" ht="15" customHeight="1" x14ac:dyDescent="0.4">
      <c r="A50" s="2"/>
      <c r="B50" s="1137"/>
      <c r="C50" s="1137"/>
      <c r="D50" s="1137"/>
      <c r="E50" s="1137"/>
      <c r="F50" s="1137"/>
      <c r="G50" s="1138"/>
      <c r="H50" s="2"/>
      <c r="I50" s="2"/>
      <c r="J50" s="1182"/>
      <c r="K50" s="1102"/>
      <c r="L50" s="1102"/>
      <c r="M50" s="1102"/>
      <c r="N50" s="1102"/>
      <c r="O50" s="1102"/>
      <c r="P50" s="1102"/>
      <c r="Q50" s="1102"/>
      <c r="R50" s="1102"/>
      <c r="S50" s="1102"/>
      <c r="T50" s="1102"/>
      <c r="U50" s="1102"/>
      <c r="V50" s="1102"/>
      <c r="W50" s="1102"/>
      <c r="X50" s="1102"/>
      <c r="Y50" s="1102"/>
      <c r="Z50" s="1102"/>
      <c r="AA50" s="1102"/>
      <c r="AB50" s="1102"/>
      <c r="AC50" s="1183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84" ht="15" customHeight="1" thickBot="1" x14ac:dyDescent="0.45">
      <c r="A51" s="2"/>
      <c r="B51" s="1137"/>
      <c r="C51" s="1137"/>
      <c r="D51" s="1137"/>
      <c r="E51" s="1137"/>
      <c r="F51" s="1137"/>
      <c r="G51" s="1138"/>
      <c r="H51" s="2"/>
      <c r="I51" s="2"/>
      <c r="J51" s="1184"/>
      <c r="K51" s="1185"/>
      <c r="L51" s="1185"/>
      <c r="M51" s="1185"/>
      <c r="N51" s="1185"/>
      <c r="O51" s="1185"/>
      <c r="P51" s="1185"/>
      <c r="Q51" s="1185"/>
      <c r="R51" s="1185"/>
      <c r="S51" s="1185"/>
      <c r="T51" s="1185"/>
      <c r="U51" s="1185"/>
      <c r="V51" s="1185"/>
      <c r="W51" s="1185"/>
      <c r="X51" s="1185"/>
      <c r="Y51" s="1185"/>
      <c r="Z51" s="1185"/>
      <c r="AA51" s="1185"/>
      <c r="AB51" s="1185"/>
      <c r="AC51" s="1186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84" ht="15" customHeight="1" x14ac:dyDescent="0.4">
      <c r="A52" s="2"/>
      <c r="B52" s="1137"/>
      <c r="C52" s="1137"/>
      <c r="D52" s="1137"/>
      <c r="E52" s="1137"/>
      <c r="F52" s="1137"/>
      <c r="G52" s="113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 ht="15" customHeight="1" thickBot="1" x14ac:dyDescent="0.45">
      <c r="A53" s="2"/>
      <c r="B53" s="1137"/>
      <c r="C53" s="1137"/>
      <c r="D53" s="1137"/>
      <c r="E53" s="1137"/>
      <c r="F53" s="1137"/>
      <c r="G53" s="113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 ht="15" customHeight="1" x14ac:dyDescent="0.4">
      <c r="A54" s="2"/>
      <c r="B54" s="1137"/>
      <c r="C54" s="1137"/>
      <c r="D54" s="1137"/>
      <c r="E54" s="1137"/>
      <c r="F54" s="1137"/>
      <c r="G54" s="1138"/>
      <c r="H54" s="2"/>
      <c r="I54" s="2"/>
      <c r="J54" s="1198" t="s">
        <v>52</v>
      </c>
      <c r="K54" s="1199"/>
      <c r="L54" s="1199"/>
      <c r="M54" s="1199"/>
      <c r="N54" s="1199"/>
      <c r="O54" s="1199"/>
      <c r="P54" s="1199"/>
      <c r="Q54" s="1199"/>
      <c r="R54" s="1199"/>
      <c r="S54" s="1199"/>
      <c r="T54" s="1199"/>
      <c r="U54" s="1199"/>
      <c r="V54" s="1199"/>
      <c r="W54" s="1199"/>
      <c r="X54" s="1199"/>
      <c r="Y54" s="1199"/>
      <c r="Z54" s="1199"/>
      <c r="AA54" s="1199"/>
      <c r="AB54" s="1199"/>
      <c r="AC54" s="1200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ht="15" customHeight="1" x14ac:dyDescent="0.4">
      <c r="A55" s="2"/>
      <c r="B55" s="1137"/>
      <c r="C55" s="1137"/>
      <c r="D55" s="1137"/>
      <c r="E55" s="1137"/>
      <c r="F55" s="1137"/>
      <c r="G55" s="1138"/>
      <c r="H55" s="2"/>
      <c r="I55" s="2"/>
      <c r="J55" s="1201"/>
      <c r="K55" s="1202"/>
      <c r="L55" s="1202"/>
      <c r="M55" s="1202"/>
      <c r="N55" s="1202"/>
      <c r="O55" s="1202"/>
      <c r="P55" s="1202"/>
      <c r="Q55" s="1202"/>
      <c r="R55" s="1202"/>
      <c r="S55" s="1202"/>
      <c r="T55" s="1202"/>
      <c r="U55" s="1202"/>
      <c r="V55" s="1202"/>
      <c r="W55" s="1202"/>
      <c r="X55" s="1202"/>
      <c r="Y55" s="1202"/>
      <c r="Z55" s="1202"/>
      <c r="AA55" s="1202"/>
      <c r="AB55" s="1202"/>
      <c r="AC55" s="1203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ht="15" customHeight="1" x14ac:dyDescent="0.4">
      <c r="A56" s="2"/>
      <c r="B56" s="1137"/>
      <c r="C56" s="1137"/>
      <c r="D56" s="1137"/>
      <c r="E56" s="1137"/>
      <c r="F56" s="1137"/>
      <c r="G56" s="1138"/>
      <c r="H56" s="2"/>
      <c r="I56" s="2"/>
      <c r="J56" s="1165" t="s">
        <v>53</v>
      </c>
      <c r="K56" s="1102"/>
      <c r="L56" s="1102"/>
      <c r="M56" s="1102"/>
      <c r="N56" s="1102"/>
      <c r="O56" s="1102"/>
      <c r="P56" s="1102"/>
      <c r="Q56" s="1102"/>
      <c r="R56" s="1102"/>
      <c r="S56" s="1102"/>
      <c r="T56" s="1102"/>
      <c r="U56" s="1102"/>
      <c r="V56" s="1102"/>
      <c r="W56" s="1102"/>
      <c r="X56" s="1102"/>
      <c r="Y56" s="1102"/>
      <c r="Z56" s="1102"/>
      <c r="AA56" s="1102"/>
      <c r="AB56" s="1102"/>
      <c r="AC56" s="1166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 ht="15" customHeight="1" x14ac:dyDescent="0.4">
      <c r="A57" s="2"/>
      <c r="B57" s="1137"/>
      <c r="C57" s="1137"/>
      <c r="D57" s="1137"/>
      <c r="E57" s="1137"/>
      <c r="F57" s="1137"/>
      <c r="G57" s="1138"/>
      <c r="H57" s="2"/>
      <c r="I57" s="2"/>
      <c r="J57" s="1165"/>
      <c r="K57" s="1102"/>
      <c r="L57" s="1102"/>
      <c r="M57" s="1102"/>
      <c r="N57" s="1102"/>
      <c r="O57" s="1102"/>
      <c r="P57" s="1102"/>
      <c r="Q57" s="1102"/>
      <c r="R57" s="1102"/>
      <c r="S57" s="1102"/>
      <c r="T57" s="1102"/>
      <c r="U57" s="1102"/>
      <c r="V57" s="1102"/>
      <c r="W57" s="1102"/>
      <c r="X57" s="1102"/>
      <c r="Y57" s="1102"/>
      <c r="Z57" s="1102"/>
      <c r="AA57" s="1102"/>
      <c r="AB57" s="1102"/>
      <c r="AC57" s="1166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ht="15" customHeight="1" x14ac:dyDescent="0.4">
      <c r="A58" s="2"/>
      <c r="B58" s="1137"/>
      <c r="C58" s="1137"/>
      <c r="D58" s="1137"/>
      <c r="E58" s="1137"/>
      <c r="F58" s="1137"/>
      <c r="G58" s="1138"/>
      <c r="H58" s="2"/>
      <c r="I58" s="2"/>
      <c r="J58" s="1165"/>
      <c r="K58" s="1102"/>
      <c r="L58" s="1102"/>
      <c r="M58" s="1102"/>
      <c r="N58" s="1102"/>
      <c r="O58" s="1102"/>
      <c r="P58" s="1102"/>
      <c r="Q58" s="1102"/>
      <c r="R58" s="1102"/>
      <c r="S58" s="1102"/>
      <c r="T58" s="1102"/>
      <c r="U58" s="1102"/>
      <c r="V58" s="1102"/>
      <c r="W58" s="1102"/>
      <c r="X58" s="1102"/>
      <c r="Y58" s="1102"/>
      <c r="Z58" s="1102"/>
      <c r="AA58" s="1102"/>
      <c r="AB58" s="1102"/>
      <c r="AC58" s="1166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ht="15" customHeight="1" x14ac:dyDescent="0.4">
      <c r="A59" s="2"/>
      <c r="B59" s="1137"/>
      <c r="C59" s="1137"/>
      <c r="D59" s="1137"/>
      <c r="E59" s="1137"/>
      <c r="F59" s="1137"/>
      <c r="G59" s="1138"/>
      <c r="H59" s="2"/>
      <c r="I59" s="2"/>
      <c r="J59" s="1165"/>
      <c r="K59" s="1102"/>
      <c r="L59" s="1102"/>
      <c r="M59" s="1102"/>
      <c r="N59" s="1102"/>
      <c r="O59" s="1102"/>
      <c r="P59" s="1102"/>
      <c r="Q59" s="1102"/>
      <c r="R59" s="1102"/>
      <c r="S59" s="1102"/>
      <c r="T59" s="1102"/>
      <c r="U59" s="1102"/>
      <c r="V59" s="1102"/>
      <c r="W59" s="1102"/>
      <c r="X59" s="1102"/>
      <c r="Y59" s="1102"/>
      <c r="Z59" s="1102"/>
      <c r="AA59" s="1102"/>
      <c r="AB59" s="1102"/>
      <c r="AC59" s="1166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ht="15" customHeight="1" thickBot="1" x14ac:dyDescent="0.45">
      <c r="A60" s="2"/>
      <c r="B60" s="1137"/>
      <c r="C60" s="1137"/>
      <c r="D60" s="1137"/>
      <c r="E60" s="1137"/>
      <c r="F60" s="1137"/>
      <c r="G60" s="1138"/>
      <c r="H60" s="2"/>
      <c r="I60" s="2"/>
      <c r="J60" s="1167"/>
      <c r="K60" s="1168"/>
      <c r="L60" s="1168"/>
      <c r="M60" s="1168"/>
      <c r="N60" s="1168"/>
      <c r="O60" s="1168"/>
      <c r="P60" s="1168"/>
      <c r="Q60" s="1168"/>
      <c r="R60" s="1168"/>
      <c r="S60" s="1168"/>
      <c r="T60" s="1168"/>
      <c r="U60" s="1168"/>
      <c r="V60" s="1168"/>
      <c r="W60" s="1168"/>
      <c r="X60" s="1168"/>
      <c r="Y60" s="1168"/>
      <c r="Z60" s="1168"/>
      <c r="AA60" s="1168"/>
      <c r="AB60" s="1168"/>
      <c r="AC60" s="1169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ht="1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 ht="15" customHeight="1" thickBo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  <row r="63" spans="1:84" ht="15" customHeight="1" x14ac:dyDescent="0.4">
      <c r="A63" s="2"/>
      <c r="B63" s="1137" t="s">
        <v>38</v>
      </c>
      <c r="C63" s="1137"/>
      <c r="D63" s="1137"/>
      <c r="E63" s="1137"/>
      <c r="F63" s="1137"/>
      <c r="G63" s="1138"/>
      <c r="H63" s="2"/>
      <c r="I63" s="2"/>
      <c r="J63" s="1176" t="s">
        <v>54</v>
      </c>
      <c r="K63" s="1177"/>
      <c r="L63" s="1177"/>
      <c r="M63" s="1177"/>
      <c r="N63" s="1177"/>
      <c r="O63" s="1177"/>
      <c r="P63" s="1177"/>
      <c r="Q63" s="1177"/>
      <c r="R63" s="1177"/>
      <c r="S63" s="1177"/>
      <c r="T63" s="1177"/>
      <c r="U63" s="1177"/>
      <c r="V63" s="1177"/>
      <c r="W63" s="1177"/>
      <c r="X63" s="1177"/>
      <c r="Y63" s="1177"/>
      <c r="Z63" s="1177"/>
      <c r="AA63" s="1177"/>
      <c r="AB63" s="1177"/>
      <c r="AC63" s="1178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</row>
    <row r="64" spans="1:84" ht="15" customHeight="1" x14ac:dyDescent="0.4">
      <c r="A64" s="2"/>
      <c r="B64" s="1137"/>
      <c r="C64" s="1137"/>
      <c r="D64" s="1137"/>
      <c r="E64" s="1137"/>
      <c r="F64" s="1137"/>
      <c r="G64" s="1138"/>
      <c r="H64" s="2"/>
      <c r="I64" s="2"/>
      <c r="J64" s="1179"/>
      <c r="K64" s="1180"/>
      <c r="L64" s="1180"/>
      <c r="M64" s="1180"/>
      <c r="N64" s="1180"/>
      <c r="O64" s="1180"/>
      <c r="P64" s="1180"/>
      <c r="Q64" s="1180"/>
      <c r="R64" s="1180"/>
      <c r="S64" s="1180"/>
      <c r="T64" s="1180"/>
      <c r="U64" s="1180"/>
      <c r="V64" s="1180"/>
      <c r="W64" s="1180"/>
      <c r="X64" s="1180"/>
      <c r="Y64" s="1180"/>
      <c r="Z64" s="1180"/>
      <c r="AA64" s="1180"/>
      <c r="AB64" s="1180"/>
      <c r="AC64" s="1181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</row>
    <row r="65" spans="1:84" ht="15" customHeight="1" x14ac:dyDescent="0.4">
      <c r="A65" s="2"/>
      <c r="B65" s="1137"/>
      <c r="C65" s="1137"/>
      <c r="D65" s="1137"/>
      <c r="E65" s="1137"/>
      <c r="F65" s="1137"/>
      <c r="G65" s="1138"/>
      <c r="H65" s="2"/>
      <c r="I65" s="2"/>
      <c r="J65" s="1182" t="s">
        <v>55</v>
      </c>
      <c r="K65" s="1102"/>
      <c r="L65" s="1102"/>
      <c r="M65" s="1102"/>
      <c r="N65" s="1102"/>
      <c r="O65" s="1102"/>
      <c r="P65" s="1102"/>
      <c r="Q65" s="1102"/>
      <c r="R65" s="1102"/>
      <c r="S65" s="1102"/>
      <c r="T65" s="1102"/>
      <c r="U65" s="1102"/>
      <c r="V65" s="1102"/>
      <c r="W65" s="1102"/>
      <c r="X65" s="1102"/>
      <c r="Y65" s="1102"/>
      <c r="Z65" s="1102"/>
      <c r="AA65" s="1102"/>
      <c r="AB65" s="1102"/>
      <c r="AC65" s="1183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</row>
    <row r="66" spans="1:84" ht="15" customHeight="1" x14ac:dyDescent="0.4">
      <c r="A66" s="2"/>
      <c r="B66" s="1137"/>
      <c r="C66" s="1137"/>
      <c r="D66" s="1137"/>
      <c r="E66" s="1137"/>
      <c r="F66" s="1137"/>
      <c r="G66" s="1138"/>
      <c r="H66" s="2"/>
      <c r="I66" s="2"/>
      <c r="J66" s="1182"/>
      <c r="K66" s="1102"/>
      <c r="L66" s="1102"/>
      <c r="M66" s="1102"/>
      <c r="N66" s="1102"/>
      <c r="O66" s="1102"/>
      <c r="P66" s="1102"/>
      <c r="Q66" s="1102"/>
      <c r="R66" s="1102"/>
      <c r="S66" s="1102"/>
      <c r="T66" s="1102"/>
      <c r="U66" s="1102"/>
      <c r="V66" s="1102"/>
      <c r="W66" s="1102"/>
      <c r="X66" s="1102"/>
      <c r="Y66" s="1102"/>
      <c r="Z66" s="1102"/>
      <c r="AA66" s="1102"/>
      <c r="AB66" s="1102"/>
      <c r="AC66" s="1183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spans="1:84" ht="15" customHeight="1" x14ac:dyDescent="0.4">
      <c r="A67" s="2"/>
      <c r="B67" s="1137"/>
      <c r="C67" s="1137"/>
      <c r="D67" s="1137"/>
      <c r="E67" s="1137"/>
      <c r="F67" s="1137"/>
      <c r="G67" s="1138"/>
      <c r="H67" s="2"/>
      <c r="I67" s="2"/>
      <c r="J67" s="1182"/>
      <c r="K67" s="1102"/>
      <c r="L67" s="1102"/>
      <c r="M67" s="1102"/>
      <c r="N67" s="1102"/>
      <c r="O67" s="1102"/>
      <c r="P67" s="1102"/>
      <c r="Q67" s="1102"/>
      <c r="R67" s="1102"/>
      <c r="S67" s="1102"/>
      <c r="T67" s="1102"/>
      <c r="U67" s="1102"/>
      <c r="V67" s="1102"/>
      <c r="W67" s="1102"/>
      <c r="X67" s="1102"/>
      <c r="Y67" s="1102"/>
      <c r="Z67" s="1102"/>
      <c r="AA67" s="1102"/>
      <c r="AB67" s="1102"/>
      <c r="AC67" s="1183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spans="1:84" ht="15" customHeight="1" x14ac:dyDescent="0.4">
      <c r="A68" s="2"/>
      <c r="B68" s="1137"/>
      <c r="C68" s="1137"/>
      <c r="D68" s="1137"/>
      <c r="E68" s="1137"/>
      <c r="F68" s="1137"/>
      <c r="G68" s="1138"/>
      <c r="H68" s="2"/>
      <c r="I68" s="2"/>
      <c r="J68" s="1182"/>
      <c r="K68" s="1102"/>
      <c r="L68" s="1102"/>
      <c r="M68" s="1102"/>
      <c r="N68" s="1102"/>
      <c r="O68" s="1102"/>
      <c r="P68" s="1102"/>
      <c r="Q68" s="1102"/>
      <c r="R68" s="1102"/>
      <c r="S68" s="1102"/>
      <c r="T68" s="1102"/>
      <c r="U68" s="1102"/>
      <c r="V68" s="1102"/>
      <c r="W68" s="1102"/>
      <c r="X68" s="1102"/>
      <c r="Y68" s="1102"/>
      <c r="Z68" s="1102"/>
      <c r="AA68" s="1102"/>
      <c r="AB68" s="1102"/>
      <c r="AC68" s="1183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</row>
    <row r="69" spans="1:84" ht="15" customHeight="1" thickBot="1" x14ac:dyDescent="0.45">
      <c r="A69" s="2"/>
      <c r="B69" s="1137"/>
      <c r="C69" s="1137"/>
      <c r="D69" s="1137"/>
      <c r="E69" s="1137"/>
      <c r="F69" s="1137"/>
      <c r="G69" s="1138"/>
      <c r="H69" s="2"/>
      <c r="I69" s="2"/>
      <c r="J69" s="1184"/>
      <c r="K69" s="1185"/>
      <c r="L69" s="1185"/>
      <c r="M69" s="1185"/>
      <c r="N69" s="1185"/>
      <c r="O69" s="1185"/>
      <c r="P69" s="1185"/>
      <c r="Q69" s="1185"/>
      <c r="R69" s="1185"/>
      <c r="S69" s="1185"/>
      <c r="T69" s="1185"/>
      <c r="U69" s="1185"/>
      <c r="V69" s="1185"/>
      <c r="W69" s="1185"/>
      <c r="X69" s="1185"/>
      <c r="Y69" s="1185"/>
      <c r="Z69" s="1185"/>
      <c r="AA69" s="1185"/>
      <c r="AB69" s="1185"/>
      <c r="AC69" s="1186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</row>
    <row r="70" spans="1:84" ht="15" customHeight="1" x14ac:dyDescent="0.4">
      <c r="A70" s="2"/>
      <c r="B70" s="1137"/>
      <c r="C70" s="1137"/>
      <c r="D70" s="1137"/>
      <c r="E70" s="1137"/>
      <c r="F70" s="1137"/>
      <c r="G70" s="113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spans="1:84" ht="15" customHeight="1" thickBot="1" x14ac:dyDescent="0.45">
      <c r="A71" s="2"/>
      <c r="B71" s="1137"/>
      <c r="C71" s="1137"/>
      <c r="D71" s="1137"/>
      <c r="E71" s="1137"/>
      <c r="F71" s="1137"/>
      <c r="G71" s="113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spans="1:84" ht="15" customHeight="1" x14ac:dyDescent="0.4">
      <c r="A72" s="2"/>
      <c r="B72" s="1137"/>
      <c r="C72" s="1137"/>
      <c r="D72" s="1137"/>
      <c r="E72" s="1137"/>
      <c r="F72" s="1137"/>
      <c r="G72" s="1138"/>
      <c r="H72" s="2"/>
      <c r="I72" s="2"/>
      <c r="J72" s="1139" t="s">
        <v>56</v>
      </c>
      <c r="K72" s="1140"/>
      <c r="L72" s="1140"/>
      <c r="M72" s="1140"/>
      <c r="N72" s="1140"/>
      <c r="O72" s="1140"/>
      <c r="P72" s="1140"/>
      <c r="Q72" s="1140"/>
      <c r="R72" s="1140"/>
      <c r="S72" s="1140"/>
      <c r="T72" s="1140"/>
      <c r="U72" s="1140"/>
      <c r="V72" s="1140"/>
      <c r="W72" s="1140"/>
      <c r="X72" s="1140"/>
      <c r="Y72" s="1140"/>
      <c r="Z72" s="1140"/>
      <c r="AA72" s="1140"/>
      <c r="AB72" s="1140"/>
      <c r="AC72" s="1141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spans="1:84" ht="15" customHeight="1" x14ac:dyDescent="0.4">
      <c r="A73" s="2"/>
      <c r="B73" s="1137"/>
      <c r="C73" s="1137"/>
      <c r="D73" s="1137"/>
      <c r="E73" s="1137"/>
      <c r="F73" s="1137"/>
      <c r="G73" s="1138"/>
      <c r="H73" s="2"/>
      <c r="I73" s="2"/>
      <c r="J73" s="1142"/>
      <c r="K73" s="1143"/>
      <c r="L73" s="1143"/>
      <c r="M73" s="1143"/>
      <c r="N73" s="1143"/>
      <c r="O73" s="1143"/>
      <c r="P73" s="1143"/>
      <c r="Q73" s="1143"/>
      <c r="R73" s="1143"/>
      <c r="S73" s="1143"/>
      <c r="T73" s="1143"/>
      <c r="U73" s="1143"/>
      <c r="V73" s="1143"/>
      <c r="W73" s="1143"/>
      <c r="X73" s="1143"/>
      <c r="Y73" s="1143"/>
      <c r="Z73" s="1143"/>
      <c r="AA73" s="1143"/>
      <c r="AB73" s="1143"/>
      <c r="AC73" s="1144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</row>
    <row r="74" spans="1:84" ht="15" customHeight="1" x14ac:dyDescent="0.4">
      <c r="A74" s="2"/>
      <c r="B74" s="1137"/>
      <c r="C74" s="1137"/>
      <c r="D74" s="1137"/>
      <c r="E74" s="1137"/>
      <c r="F74" s="1137"/>
      <c r="G74" s="1138"/>
      <c r="H74" s="2"/>
      <c r="I74" s="2"/>
      <c r="J74" s="1145" t="s">
        <v>57</v>
      </c>
      <c r="K74" s="1102"/>
      <c r="L74" s="1102"/>
      <c r="M74" s="1102"/>
      <c r="N74" s="1102"/>
      <c r="O74" s="1102"/>
      <c r="P74" s="1102"/>
      <c r="Q74" s="1102"/>
      <c r="R74" s="1102"/>
      <c r="S74" s="1102"/>
      <c r="T74" s="1102"/>
      <c r="U74" s="1102"/>
      <c r="V74" s="1102"/>
      <c r="W74" s="1102"/>
      <c r="X74" s="1102"/>
      <c r="Y74" s="1102"/>
      <c r="Z74" s="1102"/>
      <c r="AA74" s="1102"/>
      <c r="AB74" s="1102"/>
      <c r="AC74" s="1146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</row>
    <row r="75" spans="1:84" ht="15" customHeight="1" x14ac:dyDescent="0.4">
      <c r="A75" s="2"/>
      <c r="B75" s="1137"/>
      <c r="C75" s="1137"/>
      <c r="D75" s="1137"/>
      <c r="E75" s="1137"/>
      <c r="F75" s="1137"/>
      <c r="G75" s="1138"/>
      <c r="H75" s="2"/>
      <c r="I75" s="2"/>
      <c r="J75" s="1145"/>
      <c r="K75" s="1102"/>
      <c r="L75" s="1102"/>
      <c r="M75" s="1102"/>
      <c r="N75" s="1102"/>
      <c r="O75" s="1102"/>
      <c r="P75" s="1102"/>
      <c r="Q75" s="1102"/>
      <c r="R75" s="1102"/>
      <c r="S75" s="1102"/>
      <c r="T75" s="1102"/>
      <c r="U75" s="1102"/>
      <c r="V75" s="1102"/>
      <c r="W75" s="1102"/>
      <c r="X75" s="1102"/>
      <c r="Y75" s="1102"/>
      <c r="Z75" s="1102"/>
      <c r="AA75" s="1102"/>
      <c r="AB75" s="1102"/>
      <c r="AC75" s="1146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</row>
    <row r="76" spans="1:84" ht="15" customHeight="1" x14ac:dyDescent="0.4">
      <c r="A76" s="2"/>
      <c r="B76" s="1137"/>
      <c r="C76" s="1137"/>
      <c r="D76" s="1137"/>
      <c r="E76" s="1137"/>
      <c r="F76" s="1137"/>
      <c r="G76" s="1138"/>
      <c r="H76" s="2"/>
      <c r="I76" s="2"/>
      <c r="J76" s="1145"/>
      <c r="K76" s="1102"/>
      <c r="L76" s="1102"/>
      <c r="M76" s="1102"/>
      <c r="N76" s="1102"/>
      <c r="O76" s="1102"/>
      <c r="P76" s="1102"/>
      <c r="Q76" s="1102"/>
      <c r="R76" s="1102"/>
      <c r="S76" s="1102"/>
      <c r="T76" s="1102"/>
      <c r="U76" s="1102"/>
      <c r="V76" s="1102"/>
      <c r="W76" s="1102"/>
      <c r="X76" s="1102"/>
      <c r="Y76" s="1102"/>
      <c r="Z76" s="1102"/>
      <c r="AA76" s="1102"/>
      <c r="AB76" s="1102"/>
      <c r="AC76" s="114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spans="1:84" ht="15" customHeight="1" x14ac:dyDescent="0.4">
      <c r="A77" s="2"/>
      <c r="B77" s="1137"/>
      <c r="C77" s="1137"/>
      <c r="D77" s="1137"/>
      <c r="E77" s="1137"/>
      <c r="F77" s="1137"/>
      <c r="G77" s="1138"/>
      <c r="H77" s="2"/>
      <c r="I77" s="2"/>
      <c r="J77" s="1145"/>
      <c r="K77" s="1102"/>
      <c r="L77" s="1102"/>
      <c r="M77" s="1102"/>
      <c r="N77" s="1102"/>
      <c r="O77" s="1102"/>
      <c r="P77" s="1102"/>
      <c r="Q77" s="1102"/>
      <c r="R77" s="1102"/>
      <c r="S77" s="1102"/>
      <c r="T77" s="1102"/>
      <c r="U77" s="1102"/>
      <c r="V77" s="1102"/>
      <c r="W77" s="1102"/>
      <c r="X77" s="1102"/>
      <c r="Y77" s="1102"/>
      <c r="Z77" s="1102"/>
      <c r="AA77" s="1102"/>
      <c r="AB77" s="1102"/>
      <c r="AC77" s="1146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</row>
    <row r="78" spans="1:84" ht="15" customHeight="1" thickBot="1" x14ac:dyDescent="0.45">
      <c r="A78" s="2"/>
      <c r="B78" s="1137"/>
      <c r="C78" s="1137"/>
      <c r="D78" s="1137"/>
      <c r="E78" s="1137"/>
      <c r="F78" s="1137"/>
      <c r="G78" s="1138"/>
      <c r="H78" s="2"/>
      <c r="I78" s="2"/>
      <c r="J78" s="1147"/>
      <c r="K78" s="1148"/>
      <c r="L78" s="1148"/>
      <c r="M78" s="1148"/>
      <c r="N78" s="1148"/>
      <c r="O78" s="1148"/>
      <c r="P78" s="1148"/>
      <c r="Q78" s="1148"/>
      <c r="R78" s="1148"/>
      <c r="S78" s="1148"/>
      <c r="T78" s="1148"/>
      <c r="U78" s="1148"/>
      <c r="V78" s="1148"/>
      <c r="W78" s="1148"/>
      <c r="X78" s="1148"/>
      <c r="Y78" s="1148"/>
      <c r="Z78" s="1148"/>
      <c r="AA78" s="1148"/>
      <c r="AB78" s="1148"/>
      <c r="AC78" s="1149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spans="1:84" ht="15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spans="1:84" ht="15" customHeight="1" thickBo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</row>
    <row r="81" spans="1:84" ht="15" customHeight="1" x14ac:dyDescent="0.4">
      <c r="A81" s="2"/>
      <c r="B81" s="1137" t="s">
        <v>39</v>
      </c>
      <c r="C81" s="1137"/>
      <c r="D81" s="1137"/>
      <c r="E81" s="1137"/>
      <c r="F81" s="1137"/>
      <c r="G81" s="1138"/>
      <c r="H81" s="2"/>
      <c r="I81" s="2"/>
      <c r="J81" s="1107" t="s">
        <v>58</v>
      </c>
      <c r="K81" s="1108"/>
      <c r="L81" s="1108"/>
      <c r="M81" s="1108"/>
      <c r="N81" s="1108"/>
      <c r="O81" s="1108"/>
      <c r="P81" s="1108"/>
      <c r="Q81" s="1108"/>
      <c r="R81" s="1108"/>
      <c r="S81" s="1108"/>
      <c r="T81" s="1108"/>
      <c r="U81" s="1108"/>
      <c r="V81" s="1108"/>
      <c r="W81" s="1108"/>
      <c r="X81" s="1108"/>
      <c r="Y81" s="1108"/>
      <c r="Z81" s="1108"/>
      <c r="AA81" s="1108"/>
      <c r="AB81" s="1108"/>
      <c r="AC81" s="1109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1:84" ht="15" customHeight="1" x14ac:dyDescent="0.4">
      <c r="A82" s="2"/>
      <c r="B82" s="1137"/>
      <c r="C82" s="1137"/>
      <c r="D82" s="1137"/>
      <c r="E82" s="1137"/>
      <c r="F82" s="1137"/>
      <c r="G82" s="1138"/>
      <c r="H82" s="2"/>
      <c r="I82" s="2"/>
      <c r="J82" s="1110"/>
      <c r="K82" s="1111"/>
      <c r="L82" s="1111"/>
      <c r="M82" s="1111"/>
      <c r="N82" s="1111"/>
      <c r="O82" s="1111"/>
      <c r="P82" s="1111"/>
      <c r="Q82" s="1111"/>
      <c r="R82" s="1111"/>
      <c r="S82" s="1111"/>
      <c r="T82" s="1111"/>
      <c r="U82" s="1111"/>
      <c r="V82" s="1111"/>
      <c r="W82" s="1111"/>
      <c r="X82" s="1111"/>
      <c r="Y82" s="1111"/>
      <c r="Z82" s="1111"/>
      <c r="AA82" s="1111"/>
      <c r="AB82" s="1111"/>
      <c r="AC82" s="111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spans="1:84" ht="15" customHeight="1" x14ac:dyDescent="0.4">
      <c r="A83" s="2"/>
      <c r="B83" s="1137"/>
      <c r="C83" s="1137"/>
      <c r="D83" s="1137"/>
      <c r="E83" s="1137"/>
      <c r="F83" s="1137"/>
      <c r="G83" s="1138"/>
      <c r="H83" s="2"/>
      <c r="I83" s="2"/>
      <c r="J83" s="1101" t="s">
        <v>59</v>
      </c>
      <c r="K83" s="1102"/>
      <c r="L83" s="1102"/>
      <c r="M83" s="1102"/>
      <c r="N83" s="1102"/>
      <c r="O83" s="1102"/>
      <c r="P83" s="1102"/>
      <c r="Q83" s="1102"/>
      <c r="R83" s="1102"/>
      <c r="S83" s="1102"/>
      <c r="T83" s="1102"/>
      <c r="U83" s="1102"/>
      <c r="V83" s="1102"/>
      <c r="W83" s="1102"/>
      <c r="X83" s="1102"/>
      <c r="Y83" s="1102"/>
      <c r="Z83" s="1102"/>
      <c r="AA83" s="1102"/>
      <c r="AB83" s="1102"/>
      <c r="AC83" s="1103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spans="1:84" ht="15" customHeight="1" x14ac:dyDescent="0.4">
      <c r="A84" s="2"/>
      <c r="B84" s="1137"/>
      <c r="C84" s="1137"/>
      <c r="D84" s="1137"/>
      <c r="E84" s="1137"/>
      <c r="F84" s="1137"/>
      <c r="G84" s="1138"/>
      <c r="H84" s="2"/>
      <c r="I84" s="2"/>
      <c r="J84" s="1101"/>
      <c r="K84" s="1102"/>
      <c r="L84" s="1102"/>
      <c r="M84" s="1102"/>
      <c r="N84" s="1102"/>
      <c r="O84" s="1102"/>
      <c r="P84" s="1102"/>
      <c r="Q84" s="1102"/>
      <c r="R84" s="1102"/>
      <c r="S84" s="1102"/>
      <c r="T84" s="1102"/>
      <c r="U84" s="1102"/>
      <c r="V84" s="1102"/>
      <c r="W84" s="1102"/>
      <c r="X84" s="1102"/>
      <c r="Y84" s="1102"/>
      <c r="Z84" s="1102"/>
      <c r="AA84" s="1102"/>
      <c r="AB84" s="1102"/>
      <c r="AC84" s="1103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</row>
    <row r="85" spans="1:84" ht="15" customHeight="1" x14ac:dyDescent="0.4">
      <c r="A85" s="2"/>
      <c r="B85" s="1137"/>
      <c r="C85" s="1137"/>
      <c r="D85" s="1137"/>
      <c r="E85" s="1137"/>
      <c r="F85" s="1137"/>
      <c r="G85" s="1138"/>
      <c r="H85" s="2"/>
      <c r="I85" s="2"/>
      <c r="J85" s="1101"/>
      <c r="K85" s="1102"/>
      <c r="L85" s="1102"/>
      <c r="M85" s="1102"/>
      <c r="N85" s="1102"/>
      <c r="O85" s="1102"/>
      <c r="P85" s="1102"/>
      <c r="Q85" s="1102"/>
      <c r="R85" s="1102"/>
      <c r="S85" s="1102"/>
      <c r="T85" s="1102"/>
      <c r="U85" s="1102"/>
      <c r="V85" s="1102"/>
      <c r="W85" s="1102"/>
      <c r="X85" s="1102"/>
      <c r="Y85" s="1102"/>
      <c r="Z85" s="1102"/>
      <c r="AA85" s="1102"/>
      <c r="AB85" s="1102"/>
      <c r="AC85" s="1103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1:84" ht="15" customHeight="1" x14ac:dyDescent="0.4">
      <c r="A86" s="2"/>
      <c r="B86" s="1137"/>
      <c r="C86" s="1137"/>
      <c r="D86" s="1137"/>
      <c r="E86" s="1137"/>
      <c r="F86" s="1137"/>
      <c r="G86" s="1138"/>
      <c r="H86" s="2"/>
      <c r="I86" s="2"/>
      <c r="J86" s="1101"/>
      <c r="K86" s="1102"/>
      <c r="L86" s="1102"/>
      <c r="M86" s="1102"/>
      <c r="N86" s="1102"/>
      <c r="O86" s="1102"/>
      <c r="P86" s="1102"/>
      <c r="Q86" s="1102"/>
      <c r="R86" s="1102"/>
      <c r="S86" s="1102"/>
      <c r="T86" s="1102"/>
      <c r="U86" s="1102"/>
      <c r="V86" s="1102"/>
      <c r="W86" s="1102"/>
      <c r="X86" s="1102"/>
      <c r="Y86" s="1102"/>
      <c r="Z86" s="1102"/>
      <c r="AA86" s="1102"/>
      <c r="AB86" s="1102"/>
      <c r="AC86" s="1103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1:84" ht="15" customHeight="1" thickBot="1" x14ac:dyDescent="0.45">
      <c r="A87" s="2"/>
      <c r="B87" s="1137"/>
      <c r="C87" s="1137"/>
      <c r="D87" s="1137"/>
      <c r="E87" s="1137"/>
      <c r="F87" s="1137"/>
      <c r="G87" s="1138"/>
      <c r="H87" s="2"/>
      <c r="I87" s="2"/>
      <c r="J87" s="1104"/>
      <c r="K87" s="1105"/>
      <c r="L87" s="1105"/>
      <c r="M87" s="1105"/>
      <c r="N87" s="1105"/>
      <c r="O87" s="1105"/>
      <c r="P87" s="1105"/>
      <c r="Q87" s="1105"/>
      <c r="R87" s="1105"/>
      <c r="S87" s="1105"/>
      <c r="T87" s="1105"/>
      <c r="U87" s="1105"/>
      <c r="V87" s="1105"/>
      <c r="W87" s="1105"/>
      <c r="X87" s="1105"/>
      <c r="Y87" s="1105"/>
      <c r="Z87" s="1105"/>
      <c r="AA87" s="1105"/>
      <c r="AB87" s="1105"/>
      <c r="AC87" s="1106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1:84" ht="15" customHeight="1" x14ac:dyDescent="0.4">
      <c r="A88" s="2"/>
      <c r="B88" s="1137"/>
      <c r="C88" s="1137"/>
      <c r="D88" s="1137"/>
      <c r="E88" s="1137"/>
      <c r="F88" s="1137"/>
      <c r="G88" s="113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1:84" ht="15" customHeight="1" thickBot="1" x14ac:dyDescent="0.45">
      <c r="A89" s="2"/>
      <c r="B89" s="1137"/>
      <c r="C89" s="1137"/>
      <c r="D89" s="1137"/>
      <c r="E89" s="1137"/>
      <c r="F89" s="1137"/>
      <c r="G89" s="113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1:84" ht="15" customHeight="1" x14ac:dyDescent="0.4">
      <c r="A90" s="2"/>
      <c r="B90" s="1137"/>
      <c r="C90" s="1137"/>
      <c r="D90" s="1137"/>
      <c r="E90" s="1137"/>
      <c r="F90" s="1137"/>
      <c r="G90" s="1138"/>
      <c r="H90" s="2"/>
      <c r="I90" s="2"/>
      <c r="J90" s="1113" t="s">
        <v>60</v>
      </c>
      <c r="K90" s="1114"/>
      <c r="L90" s="1114"/>
      <c r="M90" s="1114"/>
      <c r="N90" s="1114"/>
      <c r="O90" s="1114"/>
      <c r="P90" s="1114"/>
      <c r="Q90" s="1114"/>
      <c r="R90" s="1114"/>
      <c r="S90" s="1114"/>
      <c r="T90" s="1114"/>
      <c r="U90" s="1114"/>
      <c r="V90" s="1114"/>
      <c r="W90" s="1114"/>
      <c r="X90" s="1114"/>
      <c r="Y90" s="1114"/>
      <c r="Z90" s="1114"/>
      <c r="AA90" s="1114"/>
      <c r="AB90" s="1114"/>
      <c r="AC90" s="1115"/>
      <c r="AD90" s="2"/>
      <c r="AE90" s="2"/>
      <c r="AF90" s="2"/>
      <c r="AG90" s="2"/>
      <c r="AH90" s="1170" t="s">
        <v>80</v>
      </c>
      <c r="AI90" s="1171"/>
      <c r="AJ90" s="1171"/>
      <c r="AK90" s="1171"/>
      <c r="AL90" s="1171"/>
      <c r="AM90" s="1171"/>
      <c r="AN90" s="1171"/>
      <c r="AO90" s="1171"/>
      <c r="AP90" s="1171"/>
      <c r="AQ90" s="1171"/>
      <c r="AR90" s="1171"/>
      <c r="AS90" s="1171"/>
      <c r="AT90" s="1171"/>
      <c r="AU90" s="1171"/>
      <c r="AV90" s="1171"/>
      <c r="AW90" s="1171"/>
      <c r="AX90" s="1171"/>
      <c r="AY90" s="1171"/>
      <c r="AZ90" s="1171"/>
      <c r="BA90" s="117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1:84" ht="15" customHeight="1" x14ac:dyDescent="0.4">
      <c r="A91" s="2"/>
      <c r="B91" s="1137"/>
      <c r="C91" s="1137"/>
      <c r="D91" s="1137"/>
      <c r="E91" s="1137"/>
      <c r="F91" s="1137"/>
      <c r="G91" s="1138"/>
      <c r="H91" s="2"/>
      <c r="I91" s="2"/>
      <c r="J91" s="1116"/>
      <c r="K91" s="1117"/>
      <c r="L91" s="1117"/>
      <c r="M91" s="1117"/>
      <c r="N91" s="1117"/>
      <c r="O91" s="1117"/>
      <c r="P91" s="1117"/>
      <c r="Q91" s="1117"/>
      <c r="R91" s="1117"/>
      <c r="S91" s="1117"/>
      <c r="T91" s="1117"/>
      <c r="U91" s="1117"/>
      <c r="V91" s="1117"/>
      <c r="W91" s="1117"/>
      <c r="X91" s="1117"/>
      <c r="Y91" s="1117"/>
      <c r="Z91" s="1117"/>
      <c r="AA91" s="1117"/>
      <c r="AB91" s="1117"/>
      <c r="AC91" s="1118"/>
      <c r="AD91" s="2"/>
      <c r="AE91" s="2"/>
      <c r="AF91" s="2"/>
      <c r="AG91" s="2"/>
      <c r="AH91" s="1173"/>
      <c r="AI91" s="1174"/>
      <c r="AJ91" s="1174"/>
      <c r="AK91" s="1174"/>
      <c r="AL91" s="1174"/>
      <c r="AM91" s="1174"/>
      <c r="AN91" s="1174"/>
      <c r="AO91" s="1174"/>
      <c r="AP91" s="1174"/>
      <c r="AQ91" s="1174"/>
      <c r="AR91" s="1174"/>
      <c r="AS91" s="1174"/>
      <c r="AT91" s="1174"/>
      <c r="AU91" s="1174"/>
      <c r="AV91" s="1174"/>
      <c r="AW91" s="1174"/>
      <c r="AX91" s="1174"/>
      <c r="AY91" s="1174"/>
      <c r="AZ91" s="1174"/>
      <c r="BA91" s="1175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1:84" ht="15" customHeight="1" x14ac:dyDescent="0.4">
      <c r="A92" s="2"/>
      <c r="B92" s="1137"/>
      <c r="C92" s="1137"/>
      <c r="D92" s="1137"/>
      <c r="E92" s="1137"/>
      <c r="F92" s="1137"/>
      <c r="G92" s="1138"/>
      <c r="H92" s="2"/>
      <c r="I92" s="2"/>
      <c r="J92" s="1119" t="s">
        <v>61</v>
      </c>
      <c r="K92" s="1102"/>
      <c r="L92" s="1102"/>
      <c r="M92" s="1102"/>
      <c r="N92" s="1102"/>
      <c r="O92" s="1102"/>
      <c r="P92" s="1102"/>
      <c r="Q92" s="1102"/>
      <c r="R92" s="1102"/>
      <c r="S92" s="1102"/>
      <c r="T92" s="1102"/>
      <c r="U92" s="1102"/>
      <c r="V92" s="1102"/>
      <c r="W92" s="1102"/>
      <c r="X92" s="1102"/>
      <c r="Y92" s="1102"/>
      <c r="Z92" s="1102"/>
      <c r="AA92" s="1102"/>
      <c r="AB92" s="1102"/>
      <c r="AC92" s="1120"/>
      <c r="AD92" s="2"/>
      <c r="AE92" s="2"/>
      <c r="AF92" s="2"/>
      <c r="AG92" s="2"/>
      <c r="AH92" s="1160" t="s">
        <v>81</v>
      </c>
      <c r="AI92" s="1102"/>
      <c r="AJ92" s="1102"/>
      <c r="AK92" s="1102"/>
      <c r="AL92" s="1102"/>
      <c r="AM92" s="1102"/>
      <c r="AN92" s="1102"/>
      <c r="AO92" s="1102"/>
      <c r="AP92" s="1102"/>
      <c r="AQ92" s="1102"/>
      <c r="AR92" s="1102"/>
      <c r="AS92" s="1102"/>
      <c r="AT92" s="1102"/>
      <c r="AU92" s="1102"/>
      <c r="AV92" s="1102"/>
      <c r="AW92" s="1102"/>
      <c r="AX92" s="1102"/>
      <c r="AY92" s="1102"/>
      <c r="AZ92" s="1102"/>
      <c r="BA92" s="1161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1:84" ht="15" customHeight="1" x14ac:dyDescent="0.4">
      <c r="A93" s="2"/>
      <c r="B93" s="1137"/>
      <c r="C93" s="1137"/>
      <c r="D93" s="1137"/>
      <c r="E93" s="1137"/>
      <c r="F93" s="1137"/>
      <c r="G93" s="1138"/>
      <c r="H93" s="2"/>
      <c r="I93" s="2"/>
      <c r="J93" s="1119"/>
      <c r="K93" s="1102"/>
      <c r="L93" s="1102"/>
      <c r="M93" s="1102"/>
      <c r="N93" s="1102"/>
      <c r="O93" s="1102"/>
      <c r="P93" s="1102"/>
      <c r="Q93" s="1102"/>
      <c r="R93" s="1102"/>
      <c r="S93" s="1102"/>
      <c r="T93" s="1102"/>
      <c r="U93" s="1102"/>
      <c r="V93" s="1102"/>
      <c r="W93" s="1102"/>
      <c r="X93" s="1102"/>
      <c r="Y93" s="1102"/>
      <c r="Z93" s="1102"/>
      <c r="AA93" s="1102"/>
      <c r="AB93" s="1102"/>
      <c r="AC93" s="1120"/>
      <c r="AD93" s="2"/>
      <c r="AE93" s="2"/>
      <c r="AF93" s="2"/>
      <c r="AG93" s="2"/>
      <c r="AH93" s="1160"/>
      <c r="AI93" s="1102"/>
      <c r="AJ93" s="1102"/>
      <c r="AK93" s="1102"/>
      <c r="AL93" s="1102"/>
      <c r="AM93" s="1102"/>
      <c r="AN93" s="1102"/>
      <c r="AO93" s="1102"/>
      <c r="AP93" s="1102"/>
      <c r="AQ93" s="1102"/>
      <c r="AR93" s="1102"/>
      <c r="AS93" s="1102"/>
      <c r="AT93" s="1102"/>
      <c r="AU93" s="1102"/>
      <c r="AV93" s="1102"/>
      <c r="AW93" s="1102"/>
      <c r="AX93" s="1102"/>
      <c r="AY93" s="1102"/>
      <c r="AZ93" s="1102"/>
      <c r="BA93" s="1161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1:84" ht="15" customHeight="1" x14ac:dyDescent="0.4">
      <c r="A94" s="2"/>
      <c r="B94" s="1137"/>
      <c r="C94" s="1137"/>
      <c r="D94" s="1137"/>
      <c r="E94" s="1137"/>
      <c r="F94" s="1137"/>
      <c r="G94" s="1138"/>
      <c r="H94" s="2"/>
      <c r="I94" s="2"/>
      <c r="J94" s="1119"/>
      <c r="K94" s="1102"/>
      <c r="L94" s="1102"/>
      <c r="M94" s="1102"/>
      <c r="N94" s="1102"/>
      <c r="O94" s="1102"/>
      <c r="P94" s="1102"/>
      <c r="Q94" s="1102"/>
      <c r="R94" s="1102"/>
      <c r="S94" s="1102"/>
      <c r="T94" s="1102"/>
      <c r="U94" s="1102"/>
      <c r="V94" s="1102"/>
      <c r="W94" s="1102"/>
      <c r="X94" s="1102"/>
      <c r="Y94" s="1102"/>
      <c r="Z94" s="1102"/>
      <c r="AA94" s="1102"/>
      <c r="AB94" s="1102"/>
      <c r="AC94" s="1120"/>
      <c r="AD94" s="2"/>
      <c r="AE94" s="2"/>
      <c r="AF94" s="2"/>
      <c r="AG94" s="2"/>
      <c r="AH94" s="1160"/>
      <c r="AI94" s="1102"/>
      <c r="AJ94" s="1102"/>
      <c r="AK94" s="1102"/>
      <c r="AL94" s="1102"/>
      <c r="AM94" s="1102"/>
      <c r="AN94" s="1102"/>
      <c r="AO94" s="1102"/>
      <c r="AP94" s="1102"/>
      <c r="AQ94" s="1102"/>
      <c r="AR94" s="1102"/>
      <c r="AS94" s="1102"/>
      <c r="AT94" s="1102"/>
      <c r="AU94" s="1102"/>
      <c r="AV94" s="1102"/>
      <c r="AW94" s="1102"/>
      <c r="AX94" s="1102"/>
      <c r="AY94" s="1102"/>
      <c r="AZ94" s="1102"/>
      <c r="BA94" s="1161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1:84" ht="15" customHeight="1" x14ac:dyDescent="0.4">
      <c r="A95" s="2"/>
      <c r="B95" s="1137"/>
      <c r="C95" s="1137"/>
      <c r="D95" s="1137"/>
      <c r="E95" s="1137"/>
      <c r="F95" s="1137"/>
      <c r="G95" s="1138"/>
      <c r="H95" s="2"/>
      <c r="I95" s="2"/>
      <c r="J95" s="1119"/>
      <c r="K95" s="1102"/>
      <c r="L95" s="1102"/>
      <c r="M95" s="1102"/>
      <c r="N95" s="1102"/>
      <c r="O95" s="1102"/>
      <c r="P95" s="1102"/>
      <c r="Q95" s="1102"/>
      <c r="R95" s="1102"/>
      <c r="S95" s="1102"/>
      <c r="T95" s="1102"/>
      <c r="U95" s="1102"/>
      <c r="V95" s="1102"/>
      <c r="W95" s="1102"/>
      <c r="X95" s="1102"/>
      <c r="Y95" s="1102"/>
      <c r="Z95" s="1102"/>
      <c r="AA95" s="1102"/>
      <c r="AB95" s="1102"/>
      <c r="AC95" s="1120"/>
      <c r="AD95" s="2"/>
      <c r="AE95" s="2"/>
      <c r="AF95" s="2"/>
      <c r="AG95" s="2"/>
      <c r="AH95" s="1160"/>
      <c r="AI95" s="1102"/>
      <c r="AJ95" s="1102"/>
      <c r="AK95" s="1102"/>
      <c r="AL95" s="1102"/>
      <c r="AM95" s="1102"/>
      <c r="AN95" s="1102"/>
      <c r="AO95" s="1102"/>
      <c r="AP95" s="1102"/>
      <c r="AQ95" s="1102"/>
      <c r="AR95" s="1102"/>
      <c r="AS95" s="1102"/>
      <c r="AT95" s="1102"/>
      <c r="AU95" s="1102"/>
      <c r="AV95" s="1102"/>
      <c r="AW95" s="1102"/>
      <c r="AX95" s="1102"/>
      <c r="AY95" s="1102"/>
      <c r="AZ95" s="1102"/>
      <c r="BA95" s="1161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1:84" ht="15" customHeight="1" thickBot="1" x14ac:dyDescent="0.45">
      <c r="A96" s="2"/>
      <c r="B96" s="1137"/>
      <c r="C96" s="1137"/>
      <c r="D96" s="1137"/>
      <c r="E96" s="1137"/>
      <c r="F96" s="1137"/>
      <c r="G96" s="1138"/>
      <c r="H96" s="2"/>
      <c r="I96" s="2"/>
      <c r="J96" s="1121"/>
      <c r="K96" s="1122"/>
      <c r="L96" s="1122"/>
      <c r="M96" s="1122"/>
      <c r="N96" s="1122"/>
      <c r="O96" s="1122"/>
      <c r="P96" s="1122"/>
      <c r="Q96" s="1122"/>
      <c r="R96" s="1122"/>
      <c r="S96" s="1122"/>
      <c r="T96" s="1122"/>
      <c r="U96" s="1122"/>
      <c r="V96" s="1122"/>
      <c r="W96" s="1122"/>
      <c r="X96" s="1122"/>
      <c r="Y96" s="1122"/>
      <c r="Z96" s="1122"/>
      <c r="AA96" s="1122"/>
      <c r="AB96" s="1122"/>
      <c r="AC96" s="1123"/>
      <c r="AD96" s="2"/>
      <c r="AE96" s="2"/>
      <c r="AF96" s="2"/>
      <c r="AG96" s="2"/>
      <c r="AH96" s="1162"/>
      <c r="AI96" s="1163"/>
      <c r="AJ96" s="1163"/>
      <c r="AK96" s="1163"/>
      <c r="AL96" s="1163"/>
      <c r="AM96" s="1163"/>
      <c r="AN96" s="1163"/>
      <c r="AO96" s="1163"/>
      <c r="AP96" s="1163"/>
      <c r="AQ96" s="1163"/>
      <c r="AR96" s="1163"/>
      <c r="AS96" s="1163"/>
      <c r="AT96" s="1163"/>
      <c r="AU96" s="1163"/>
      <c r="AV96" s="1163"/>
      <c r="AW96" s="1163"/>
      <c r="AX96" s="1163"/>
      <c r="AY96" s="1163"/>
      <c r="AZ96" s="1163"/>
      <c r="BA96" s="1164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1:84" ht="15" customHeight="1" x14ac:dyDescent="0.4">
      <c r="A97" s="2"/>
      <c r="B97" s="1137"/>
      <c r="C97" s="1137"/>
      <c r="D97" s="1137"/>
      <c r="E97" s="1137"/>
      <c r="F97" s="1137"/>
      <c r="G97" s="113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</row>
    <row r="98" spans="1:84" ht="15" customHeight="1" thickBot="1" x14ac:dyDescent="0.45">
      <c r="A98" s="2"/>
      <c r="B98" s="1137"/>
      <c r="C98" s="1137"/>
      <c r="D98" s="1137"/>
      <c r="E98" s="1137"/>
      <c r="F98" s="1137"/>
      <c r="G98" s="113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1:84" ht="15" customHeight="1" x14ac:dyDescent="0.4">
      <c r="A99" s="2"/>
      <c r="B99" s="1137"/>
      <c r="C99" s="1137"/>
      <c r="D99" s="1137"/>
      <c r="E99" s="1137"/>
      <c r="F99" s="1137"/>
      <c r="G99" s="1138"/>
      <c r="H99" s="2"/>
      <c r="I99" s="2"/>
      <c r="J99" s="1176" t="s">
        <v>62</v>
      </c>
      <c r="K99" s="1177"/>
      <c r="L99" s="1177"/>
      <c r="M99" s="1177"/>
      <c r="N99" s="1177"/>
      <c r="O99" s="1177"/>
      <c r="P99" s="1177"/>
      <c r="Q99" s="1177"/>
      <c r="R99" s="1177"/>
      <c r="S99" s="1177"/>
      <c r="T99" s="1177"/>
      <c r="U99" s="1177"/>
      <c r="V99" s="1177"/>
      <c r="W99" s="1177"/>
      <c r="X99" s="1177"/>
      <c r="Y99" s="1177"/>
      <c r="Z99" s="1177"/>
      <c r="AA99" s="1177"/>
      <c r="AB99" s="1177"/>
      <c r="AC99" s="1178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1:84" ht="15" customHeight="1" x14ac:dyDescent="0.4">
      <c r="A100" s="2"/>
      <c r="B100" s="1137"/>
      <c r="C100" s="1137"/>
      <c r="D100" s="1137"/>
      <c r="E100" s="1137"/>
      <c r="F100" s="1137"/>
      <c r="G100" s="1138"/>
      <c r="H100" s="2"/>
      <c r="I100" s="2"/>
      <c r="J100" s="1179"/>
      <c r="K100" s="1180"/>
      <c r="L100" s="1180"/>
      <c r="M100" s="1180"/>
      <c r="N100" s="1180"/>
      <c r="O100" s="1180"/>
      <c r="P100" s="1180"/>
      <c r="Q100" s="1180"/>
      <c r="R100" s="1180"/>
      <c r="S100" s="1180"/>
      <c r="T100" s="1180"/>
      <c r="U100" s="1180"/>
      <c r="V100" s="1180"/>
      <c r="W100" s="1180"/>
      <c r="X100" s="1180"/>
      <c r="Y100" s="1180"/>
      <c r="Z100" s="1180"/>
      <c r="AA100" s="1180"/>
      <c r="AB100" s="1180"/>
      <c r="AC100" s="1181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  <row r="101" spans="1:84" ht="15" customHeight="1" x14ac:dyDescent="0.4">
      <c r="A101" s="2"/>
      <c r="B101" s="1137"/>
      <c r="C101" s="1137"/>
      <c r="D101" s="1137"/>
      <c r="E101" s="1137"/>
      <c r="F101" s="1137"/>
      <c r="G101" s="1138"/>
      <c r="H101" s="2"/>
      <c r="I101" s="2"/>
      <c r="J101" s="1182" t="s">
        <v>63</v>
      </c>
      <c r="K101" s="1102"/>
      <c r="L101" s="1102"/>
      <c r="M101" s="1102"/>
      <c r="N101" s="1102"/>
      <c r="O101" s="1102"/>
      <c r="P101" s="1102"/>
      <c r="Q101" s="1102"/>
      <c r="R101" s="1102"/>
      <c r="S101" s="1102"/>
      <c r="T101" s="1102"/>
      <c r="U101" s="1102"/>
      <c r="V101" s="1102"/>
      <c r="W101" s="1102"/>
      <c r="X101" s="1102"/>
      <c r="Y101" s="1102"/>
      <c r="Z101" s="1102"/>
      <c r="AA101" s="1102"/>
      <c r="AB101" s="1102"/>
      <c r="AC101" s="1183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  <row r="102" spans="1:84" ht="15" customHeight="1" x14ac:dyDescent="0.4">
      <c r="A102" s="2"/>
      <c r="B102" s="1137"/>
      <c r="C102" s="1137"/>
      <c r="D102" s="1137"/>
      <c r="E102" s="1137"/>
      <c r="F102" s="1137"/>
      <c r="G102" s="1138"/>
      <c r="H102" s="2"/>
      <c r="I102" s="2"/>
      <c r="J102" s="1182"/>
      <c r="K102" s="1102"/>
      <c r="L102" s="1102"/>
      <c r="M102" s="1102"/>
      <c r="N102" s="1102"/>
      <c r="O102" s="1102"/>
      <c r="P102" s="1102"/>
      <c r="Q102" s="1102"/>
      <c r="R102" s="1102"/>
      <c r="S102" s="1102"/>
      <c r="T102" s="1102"/>
      <c r="U102" s="1102"/>
      <c r="V102" s="1102"/>
      <c r="W102" s="1102"/>
      <c r="X102" s="1102"/>
      <c r="Y102" s="1102"/>
      <c r="Z102" s="1102"/>
      <c r="AA102" s="1102"/>
      <c r="AB102" s="1102"/>
      <c r="AC102" s="1183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</row>
    <row r="103" spans="1:84" ht="15" customHeight="1" x14ac:dyDescent="0.4">
      <c r="A103" s="2"/>
      <c r="B103" s="1137"/>
      <c r="C103" s="1137"/>
      <c r="D103" s="1137"/>
      <c r="E103" s="1137"/>
      <c r="F103" s="1137"/>
      <c r="G103" s="1138"/>
      <c r="H103" s="2"/>
      <c r="I103" s="2"/>
      <c r="J103" s="1182"/>
      <c r="K103" s="1102"/>
      <c r="L103" s="1102"/>
      <c r="M103" s="1102"/>
      <c r="N103" s="1102"/>
      <c r="O103" s="1102"/>
      <c r="P103" s="1102"/>
      <c r="Q103" s="1102"/>
      <c r="R103" s="1102"/>
      <c r="S103" s="1102"/>
      <c r="T103" s="1102"/>
      <c r="U103" s="1102"/>
      <c r="V103" s="1102"/>
      <c r="W103" s="1102"/>
      <c r="X103" s="1102"/>
      <c r="Y103" s="1102"/>
      <c r="Z103" s="1102"/>
      <c r="AA103" s="1102"/>
      <c r="AB103" s="1102"/>
      <c r="AC103" s="1183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</row>
    <row r="104" spans="1:84" ht="15" customHeight="1" x14ac:dyDescent="0.4">
      <c r="A104" s="2"/>
      <c r="B104" s="1137"/>
      <c r="C104" s="1137"/>
      <c r="D104" s="1137"/>
      <c r="E104" s="1137"/>
      <c r="F104" s="1137"/>
      <c r="G104" s="1138"/>
      <c r="H104" s="2"/>
      <c r="I104" s="2"/>
      <c r="J104" s="1182"/>
      <c r="K104" s="1102"/>
      <c r="L104" s="1102"/>
      <c r="M104" s="1102"/>
      <c r="N104" s="1102"/>
      <c r="O104" s="1102"/>
      <c r="P104" s="1102"/>
      <c r="Q104" s="1102"/>
      <c r="R104" s="1102"/>
      <c r="S104" s="1102"/>
      <c r="T104" s="1102"/>
      <c r="U104" s="1102"/>
      <c r="V104" s="1102"/>
      <c r="W104" s="1102"/>
      <c r="X104" s="1102"/>
      <c r="Y104" s="1102"/>
      <c r="Z104" s="1102"/>
      <c r="AA104" s="1102"/>
      <c r="AB104" s="1102"/>
      <c r="AC104" s="1183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</row>
    <row r="105" spans="1:84" ht="15" customHeight="1" thickBot="1" x14ac:dyDescent="0.45">
      <c r="A105" s="2"/>
      <c r="B105" s="1137"/>
      <c r="C105" s="1137"/>
      <c r="D105" s="1137"/>
      <c r="E105" s="1137"/>
      <c r="F105" s="1137"/>
      <c r="G105" s="1138"/>
      <c r="H105" s="2"/>
      <c r="I105" s="2"/>
      <c r="J105" s="1184"/>
      <c r="K105" s="1185"/>
      <c r="L105" s="1185"/>
      <c r="M105" s="1185"/>
      <c r="N105" s="1185"/>
      <c r="O105" s="1185"/>
      <c r="P105" s="1185"/>
      <c r="Q105" s="1185"/>
      <c r="R105" s="1185"/>
      <c r="S105" s="1185"/>
      <c r="T105" s="1185"/>
      <c r="U105" s="1185"/>
      <c r="V105" s="1185"/>
      <c r="W105" s="1185"/>
      <c r="X105" s="1185"/>
      <c r="Y105" s="1185"/>
      <c r="Z105" s="1185"/>
      <c r="AA105" s="1185"/>
      <c r="AB105" s="1185"/>
      <c r="AC105" s="1186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</row>
    <row r="106" spans="1:84" ht="1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</row>
    <row r="107" spans="1:84" ht="15" customHeight="1" thickBo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</row>
    <row r="108" spans="1:84" ht="15" customHeight="1" x14ac:dyDescent="0.4">
      <c r="A108" s="2"/>
      <c r="B108" s="1137" t="s">
        <v>40</v>
      </c>
      <c r="C108" s="1137"/>
      <c r="D108" s="1137"/>
      <c r="E108" s="1137"/>
      <c r="F108" s="1137"/>
      <c r="G108" s="1138"/>
      <c r="H108" s="2"/>
      <c r="I108" s="2"/>
      <c r="J108" s="1204" t="s">
        <v>64</v>
      </c>
      <c r="K108" s="1205"/>
      <c r="L108" s="1205"/>
      <c r="M108" s="1205"/>
      <c r="N108" s="1205"/>
      <c r="O108" s="1205"/>
      <c r="P108" s="1205"/>
      <c r="Q108" s="1205"/>
      <c r="R108" s="1205"/>
      <c r="S108" s="1205"/>
      <c r="T108" s="1205"/>
      <c r="U108" s="1205"/>
      <c r="V108" s="1205"/>
      <c r="W108" s="1205"/>
      <c r="X108" s="1205"/>
      <c r="Y108" s="1205"/>
      <c r="Z108" s="1205"/>
      <c r="AA108" s="1205"/>
      <c r="AB108" s="1205"/>
      <c r="AC108" s="1206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</row>
    <row r="109" spans="1:84" ht="15" customHeight="1" x14ac:dyDescent="0.4">
      <c r="A109" s="2"/>
      <c r="B109" s="1137"/>
      <c r="C109" s="1137"/>
      <c r="D109" s="1137"/>
      <c r="E109" s="1137"/>
      <c r="F109" s="1137"/>
      <c r="G109" s="1138"/>
      <c r="H109" s="2"/>
      <c r="I109" s="2"/>
      <c r="J109" s="1207"/>
      <c r="K109" s="1208"/>
      <c r="L109" s="1208"/>
      <c r="M109" s="1208"/>
      <c r="N109" s="1208"/>
      <c r="O109" s="1208"/>
      <c r="P109" s="1208"/>
      <c r="Q109" s="1208"/>
      <c r="R109" s="1208"/>
      <c r="S109" s="1208"/>
      <c r="T109" s="1208"/>
      <c r="U109" s="1208"/>
      <c r="V109" s="1208"/>
      <c r="W109" s="1208"/>
      <c r="X109" s="1208"/>
      <c r="Y109" s="1208"/>
      <c r="Z109" s="1208"/>
      <c r="AA109" s="1208"/>
      <c r="AB109" s="1208"/>
      <c r="AC109" s="1209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</row>
    <row r="110" spans="1:84" ht="15" customHeight="1" x14ac:dyDescent="0.4">
      <c r="A110" s="2"/>
      <c r="B110" s="1137"/>
      <c r="C110" s="1137"/>
      <c r="D110" s="1137"/>
      <c r="E110" s="1137"/>
      <c r="F110" s="1137"/>
      <c r="G110" s="1138"/>
      <c r="H110" s="2"/>
      <c r="I110" s="2"/>
      <c r="J110" s="1210" t="s">
        <v>65</v>
      </c>
      <c r="K110" s="1102"/>
      <c r="L110" s="1102"/>
      <c r="M110" s="1102"/>
      <c r="N110" s="1102"/>
      <c r="O110" s="1102"/>
      <c r="P110" s="1102"/>
      <c r="Q110" s="1102"/>
      <c r="R110" s="1102"/>
      <c r="S110" s="1102"/>
      <c r="T110" s="1102"/>
      <c r="U110" s="1102"/>
      <c r="V110" s="1102"/>
      <c r="W110" s="1102"/>
      <c r="X110" s="1102"/>
      <c r="Y110" s="1102"/>
      <c r="Z110" s="1102"/>
      <c r="AA110" s="1102"/>
      <c r="AB110" s="1102"/>
      <c r="AC110" s="1211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</row>
    <row r="111" spans="1:84" ht="15" customHeight="1" x14ac:dyDescent="0.4">
      <c r="A111" s="2"/>
      <c r="B111" s="1137"/>
      <c r="C111" s="1137"/>
      <c r="D111" s="1137"/>
      <c r="E111" s="1137"/>
      <c r="F111" s="1137"/>
      <c r="G111" s="1138"/>
      <c r="H111" s="2"/>
      <c r="I111" s="2"/>
      <c r="J111" s="1210"/>
      <c r="K111" s="1102"/>
      <c r="L111" s="1102"/>
      <c r="M111" s="1102"/>
      <c r="N111" s="1102"/>
      <c r="O111" s="1102"/>
      <c r="P111" s="1102"/>
      <c r="Q111" s="1102"/>
      <c r="R111" s="1102"/>
      <c r="S111" s="1102"/>
      <c r="T111" s="1102"/>
      <c r="U111" s="1102"/>
      <c r="V111" s="1102"/>
      <c r="W111" s="1102"/>
      <c r="X111" s="1102"/>
      <c r="Y111" s="1102"/>
      <c r="Z111" s="1102"/>
      <c r="AA111" s="1102"/>
      <c r="AB111" s="1102"/>
      <c r="AC111" s="1211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</row>
    <row r="112" spans="1:84" ht="15" customHeight="1" x14ac:dyDescent="0.4">
      <c r="A112" s="2"/>
      <c r="B112" s="1137"/>
      <c r="C112" s="1137"/>
      <c r="D112" s="1137"/>
      <c r="E112" s="1137"/>
      <c r="F112" s="1137"/>
      <c r="G112" s="1138"/>
      <c r="H112" s="2"/>
      <c r="I112" s="2"/>
      <c r="J112" s="1210"/>
      <c r="K112" s="1102"/>
      <c r="L112" s="1102"/>
      <c r="M112" s="1102"/>
      <c r="N112" s="1102"/>
      <c r="O112" s="1102"/>
      <c r="P112" s="1102"/>
      <c r="Q112" s="1102"/>
      <c r="R112" s="1102"/>
      <c r="S112" s="1102"/>
      <c r="T112" s="1102"/>
      <c r="U112" s="1102"/>
      <c r="V112" s="1102"/>
      <c r="W112" s="1102"/>
      <c r="X112" s="1102"/>
      <c r="Y112" s="1102"/>
      <c r="Z112" s="1102"/>
      <c r="AA112" s="1102"/>
      <c r="AB112" s="1102"/>
      <c r="AC112" s="1211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</row>
    <row r="113" spans="1:84" ht="15" customHeight="1" x14ac:dyDescent="0.4">
      <c r="A113" s="2"/>
      <c r="B113" s="1137"/>
      <c r="C113" s="1137"/>
      <c r="D113" s="1137"/>
      <c r="E113" s="1137"/>
      <c r="F113" s="1137"/>
      <c r="G113" s="1138"/>
      <c r="H113" s="2"/>
      <c r="I113" s="2"/>
      <c r="J113" s="1210"/>
      <c r="K113" s="1102"/>
      <c r="L113" s="1102"/>
      <c r="M113" s="1102"/>
      <c r="N113" s="1102"/>
      <c r="O113" s="1102"/>
      <c r="P113" s="1102"/>
      <c r="Q113" s="1102"/>
      <c r="R113" s="1102"/>
      <c r="S113" s="1102"/>
      <c r="T113" s="1102"/>
      <c r="U113" s="1102"/>
      <c r="V113" s="1102"/>
      <c r="W113" s="1102"/>
      <c r="X113" s="1102"/>
      <c r="Y113" s="1102"/>
      <c r="Z113" s="1102"/>
      <c r="AA113" s="1102"/>
      <c r="AB113" s="1102"/>
      <c r="AC113" s="1211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</row>
    <row r="114" spans="1:84" ht="15" customHeight="1" thickBot="1" x14ac:dyDescent="0.45">
      <c r="A114" s="2"/>
      <c r="B114" s="1137"/>
      <c r="C114" s="1137"/>
      <c r="D114" s="1137"/>
      <c r="E114" s="1137"/>
      <c r="F114" s="1137"/>
      <c r="G114" s="1138"/>
      <c r="H114" s="2"/>
      <c r="I114" s="2"/>
      <c r="J114" s="1212"/>
      <c r="K114" s="1213"/>
      <c r="L114" s="1213"/>
      <c r="M114" s="1213"/>
      <c r="N114" s="1213"/>
      <c r="O114" s="1213"/>
      <c r="P114" s="1213"/>
      <c r="Q114" s="1213"/>
      <c r="R114" s="1213"/>
      <c r="S114" s="1213"/>
      <c r="T114" s="1213"/>
      <c r="U114" s="1213"/>
      <c r="V114" s="1213"/>
      <c r="W114" s="1213"/>
      <c r="X114" s="1213"/>
      <c r="Y114" s="1213"/>
      <c r="Z114" s="1213"/>
      <c r="AA114" s="1213"/>
      <c r="AB114" s="1213"/>
      <c r="AC114" s="1214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</row>
    <row r="115" spans="1:84" ht="15" customHeight="1" x14ac:dyDescent="0.4">
      <c r="A115" s="2"/>
      <c r="B115" s="1137"/>
      <c r="C115" s="1137"/>
      <c r="D115" s="1137"/>
      <c r="E115" s="1137"/>
      <c r="F115" s="1137"/>
      <c r="G115" s="113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</row>
    <row r="116" spans="1:84" ht="15" customHeight="1" thickBot="1" x14ac:dyDescent="0.45">
      <c r="A116" s="2"/>
      <c r="B116" s="1137"/>
      <c r="C116" s="1137"/>
      <c r="D116" s="1137"/>
      <c r="E116" s="1137"/>
      <c r="F116" s="1137"/>
      <c r="G116" s="113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</row>
    <row r="117" spans="1:84" ht="15" customHeight="1" x14ac:dyDescent="0.4">
      <c r="A117" s="2"/>
      <c r="B117" s="1137"/>
      <c r="C117" s="1137"/>
      <c r="D117" s="1137"/>
      <c r="E117" s="1137"/>
      <c r="F117" s="1137"/>
      <c r="G117" s="1138"/>
      <c r="H117" s="2"/>
      <c r="I117" s="2"/>
      <c r="J117" s="1139" t="s">
        <v>66</v>
      </c>
      <c r="K117" s="1140"/>
      <c r="L117" s="1140"/>
      <c r="M117" s="1140"/>
      <c r="N117" s="1140"/>
      <c r="O117" s="1140"/>
      <c r="P117" s="1140"/>
      <c r="Q117" s="1140"/>
      <c r="R117" s="1140"/>
      <c r="S117" s="1140"/>
      <c r="T117" s="1140"/>
      <c r="U117" s="1140"/>
      <c r="V117" s="1140"/>
      <c r="W117" s="1140"/>
      <c r="X117" s="1140"/>
      <c r="Y117" s="1140"/>
      <c r="Z117" s="1140"/>
      <c r="AA117" s="1140"/>
      <c r="AB117" s="1140"/>
      <c r="AC117" s="1141"/>
      <c r="AD117" s="2"/>
      <c r="AE117" s="2"/>
      <c r="AF117" s="2"/>
      <c r="AG117" s="2"/>
      <c r="AH117" s="1170" t="s">
        <v>82</v>
      </c>
      <c r="AI117" s="1171"/>
      <c r="AJ117" s="1171"/>
      <c r="AK117" s="1171"/>
      <c r="AL117" s="1171"/>
      <c r="AM117" s="1171"/>
      <c r="AN117" s="1171"/>
      <c r="AO117" s="1171"/>
      <c r="AP117" s="1171"/>
      <c r="AQ117" s="1171"/>
      <c r="AR117" s="1171"/>
      <c r="AS117" s="1171"/>
      <c r="AT117" s="1171"/>
      <c r="AU117" s="1171"/>
      <c r="AV117" s="1171"/>
      <c r="AW117" s="1171"/>
      <c r="AX117" s="1171"/>
      <c r="AY117" s="1171"/>
      <c r="AZ117" s="1171"/>
      <c r="BA117" s="1172"/>
      <c r="BB117" s="2"/>
      <c r="BC117" s="2"/>
      <c r="BD117" s="2"/>
      <c r="BE117" s="2"/>
      <c r="BF117" s="1170" t="s">
        <v>84</v>
      </c>
      <c r="BG117" s="1171"/>
      <c r="BH117" s="1171"/>
      <c r="BI117" s="1171"/>
      <c r="BJ117" s="1171"/>
      <c r="BK117" s="1171"/>
      <c r="BL117" s="1171"/>
      <c r="BM117" s="1171"/>
      <c r="BN117" s="1171"/>
      <c r="BO117" s="1171"/>
      <c r="BP117" s="1171"/>
      <c r="BQ117" s="1171"/>
      <c r="BR117" s="1171"/>
      <c r="BS117" s="1171"/>
      <c r="BT117" s="1171"/>
      <c r="BU117" s="1171"/>
      <c r="BV117" s="1171"/>
      <c r="BW117" s="1171"/>
      <c r="BX117" s="1171"/>
      <c r="BY117" s="1172"/>
      <c r="BZ117" s="2"/>
      <c r="CA117" s="2"/>
      <c r="CB117" s="2"/>
      <c r="CC117" s="2"/>
      <c r="CD117" s="2"/>
      <c r="CE117" s="2"/>
      <c r="CF117" s="2"/>
    </row>
    <row r="118" spans="1:84" ht="15" customHeight="1" x14ac:dyDescent="0.4">
      <c r="A118" s="2"/>
      <c r="B118" s="1137"/>
      <c r="C118" s="1137"/>
      <c r="D118" s="1137"/>
      <c r="E118" s="1137"/>
      <c r="F118" s="1137"/>
      <c r="G118" s="1138"/>
      <c r="H118" s="2"/>
      <c r="I118" s="2"/>
      <c r="J118" s="1142"/>
      <c r="K118" s="1143"/>
      <c r="L118" s="1143"/>
      <c r="M118" s="1143"/>
      <c r="N118" s="1143"/>
      <c r="O118" s="1143"/>
      <c r="P118" s="1143"/>
      <c r="Q118" s="1143"/>
      <c r="R118" s="1143"/>
      <c r="S118" s="1143"/>
      <c r="T118" s="1143"/>
      <c r="U118" s="1143"/>
      <c r="V118" s="1143"/>
      <c r="W118" s="1143"/>
      <c r="X118" s="1143"/>
      <c r="Y118" s="1143"/>
      <c r="Z118" s="1143"/>
      <c r="AA118" s="1143"/>
      <c r="AB118" s="1143"/>
      <c r="AC118" s="1144"/>
      <c r="AD118" s="2"/>
      <c r="AE118" s="2"/>
      <c r="AF118" s="2"/>
      <c r="AG118" s="2"/>
      <c r="AH118" s="1173"/>
      <c r="AI118" s="1174"/>
      <c r="AJ118" s="1174"/>
      <c r="AK118" s="1174"/>
      <c r="AL118" s="1174"/>
      <c r="AM118" s="1174"/>
      <c r="AN118" s="1174"/>
      <c r="AO118" s="1174"/>
      <c r="AP118" s="1174"/>
      <c r="AQ118" s="1174"/>
      <c r="AR118" s="1174"/>
      <c r="AS118" s="1174"/>
      <c r="AT118" s="1174"/>
      <c r="AU118" s="1174"/>
      <c r="AV118" s="1174"/>
      <c r="AW118" s="1174"/>
      <c r="AX118" s="1174"/>
      <c r="AY118" s="1174"/>
      <c r="AZ118" s="1174"/>
      <c r="BA118" s="1175"/>
      <c r="BB118" s="2"/>
      <c r="BC118" s="2"/>
      <c r="BD118" s="2"/>
      <c r="BE118" s="2"/>
      <c r="BF118" s="1173"/>
      <c r="BG118" s="1174"/>
      <c r="BH118" s="1174"/>
      <c r="BI118" s="1174"/>
      <c r="BJ118" s="1174"/>
      <c r="BK118" s="1174"/>
      <c r="BL118" s="1174"/>
      <c r="BM118" s="1174"/>
      <c r="BN118" s="1174"/>
      <c r="BO118" s="1174"/>
      <c r="BP118" s="1174"/>
      <c r="BQ118" s="1174"/>
      <c r="BR118" s="1174"/>
      <c r="BS118" s="1174"/>
      <c r="BT118" s="1174"/>
      <c r="BU118" s="1174"/>
      <c r="BV118" s="1174"/>
      <c r="BW118" s="1174"/>
      <c r="BX118" s="1174"/>
      <c r="BY118" s="1175"/>
      <c r="BZ118" s="2"/>
      <c r="CA118" s="2"/>
      <c r="CB118" s="2"/>
      <c r="CC118" s="2"/>
      <c r="CD118" s="2"/>
      <c r="CE118" s="2"/>
      <c r="CF118" s="2"/>
    </row>
    <row r="119" spans="1:84" ht="15" customHeight="1" x14ac:dyDescent="0.4">
      <c r="A119" s="2"/>
      <c r="B119" s="1137"/>
      <c r="C119" s="1137"/>
      <c r="D119" s="1137"/>
      <c r="E119" s="1137"/>
      <c r="F119" s="1137"/>
      <c r="G119" s="1138"/>
      <c r="H119" s="2"/>
      <c r="I119" s="2"/>
      <c r="J119" s="1145" t="s">
        <v>67</v>
      </c>
      <c r="K119" s="1102"/>
      <c r="L119" s="1102"/>
      <c r="M119" s="1102"/>
      <c r="N119" s="1102"/>
      <c r="O119" s="1102"/>
      <c r="P119" s="1102"/>
      <c r="Q119" s="1102"/>
      <c r="R119" s="1102"/>
      <c r="S119" s="1102"/>
      <c r="T119" s="1102"/>
      <c r="U119" s="1102"/>
      <c r="V119" s="1102"/>
      <c r="W119" s="1102"/>
      <c r="X119" s="1102"/>
      <c r="Y119" s="1102"/>
      <c r="Z119" s="1102"/>
      <c r="AA119" s="1102"/>
      <c r="AB119" s="1102"/>
      <c r="AC119" s="1146"/>
      <c r="AD119" s="2"/>
      <c r="AE119" s="2"/>
      <c r="AF119" s="2"/>
      <c r="AG119" s="2"/>
      <c r="AH119" s="1160" t="s">
        <v>83</v>
      </c>
      <c r="AI119" s="1102"/>
      <c r="AJ119" s="1102"/>
      <c r="AK119" s="1102"/>
      <c r="AL119" s="1102"/>
      <c r="AM119" s="1102"/>
      <c r="AN119" s="1102"/>
      <c r="AO119" s="1102"/>
      <c r="AP119" s="1102"/>
      <c r="AQ119" s="1102"/>
      <c r="AR119" s="1102"/>
      <c r="AS119" s="1102"/>
      <c r="AT119" s="1102"/>
      <c r="AU119" s="1102"/>
      <c r="AV119" s="1102"/>
      <c r="AW119" s="1102"/>
      <c r="AX119" s="1102"/>
      <c r="AY119" s="1102"/>
      <c r="AZ119" s="1102"/>
      <c r="BA119" s="1161"/>
      <c r="BB119" s="2"/>
      <c r="BC119" s="2"/>
      <c r="BD119" s="2"/>
      <c r="BE119" s="2"/>
      <c r="BF119" s="1160" t="s">
        <v>85</v>
      </c>
      <c r="BG119" s="1102"/>
      <c r="BH119" s="1102"/>
      <c r="BI119" s="1102"/>
      <c r="BJ119" s="1102"/>
      <c r="BK119" s="1102"/>
      <c r="BL119" s="1102"/>
      <c r="BM119" s="1102"/>
      <c r="BN119" s="1102"/>
      <c r="BO119" s="1102"/>
      <c r="BP119" s="1102"/>
      <c r="BQ119" s="1102"/>
      <c r="BR119" s="1102"/>
      <c r="BS119" s="1102"/>
      <c r="BT119" s="1102"/>
      <c r="BU119" s="1102"/>
      <c r="BV119" s="1102"/>
      <c r="BW119" s="1102"/>
      <c r="BX119" s="1102"/>
      <c r="BY119" s="1161"/>
      <c r="BZ119" s="2"/>
      <c r="CA119" s="2"/>
      <c r="CB119" s="2"/>
      <c r="CC119" s="2"/>
      <c r="CD119" s="2"/>
      <c r="CE119" s="2"/>
      <c r="CF119" s="2"/>
    </row>
    <row r="120" spans="1:84" ht="15" customHeight="1" x14ac:dyDescent="0.4">
      <c r="A120" s="2"/>
      <c r="B120" s="1137"/>
      <c r="C120" s="1137"/>
      <c r="D120" s="1137"/>
      <c r="E120" s="1137"/>
      <c r="F120" s="1137"/>
      <c r="G120" s="1138"/>
      <c r="H120" s="2"/>
      <c r="I120" s="2"/>
      <c r="J120" s="1145"/>
      <c r="K120" s="1102"/>
      <c r="L120" s="1102"/>
      <c r="M120" s="1102"/>
      <c r="N120" s="1102"/>
      <c r="O120" s="1102"/>
      <c r="P120" s="1102"/>
      <c r="Q120" s="1102"/>
      <c r="R120" s="1102"/>
      <c r="S120" s="1102"/>
      <c r="T120" s="1102"/>
      <c r="U120" s="1102"/>
      <c r="V120" s="1102"/>
      <c r="W120" s="1102"/>
      <c r="X120" s="1102"/>
      <c r="Y120" s="1102"/>
      <c r="Z120" s="1102"/>
      <c r="AA120" s="1102"/>
      <c r="AB120" s="1102"/>
      <c r="AC120" s="1146"/>
      <c r="AD120" s="2"/>
      <c r="AE120" s="2"/>
      <c r="AF120" s="2"/>
      <c r="AG120" s="2"/>
      <c r="AH120" s="1160"/>
      <c r="AI120" s="1102"/>
      <c r="AJ120" s="1102"/>
      <c r="AK120" s="1102"/>
      <c r="AL120" s="1102"/>
      <c r="AM120" s="1102"/>
      <c r="AN120" s="1102"/>
      <c r="AO120" s="1102"/>
      <c r="AP120" s="1102"/>
      <c r="AQ120" s="1102"/>
      <c r="AR120" s="1102"/>
      <c r="AS120" s="1102"/>
      <c r="AT120" s="1102"/>
      <c r="AU120" s="1102"/>
      <c r="AV120" s="1102"/>
      <c r="AW120" s="1102"/>
      <c r="AX120" s="1102"/>
      <c r="AY120" s="1102"/>
      <c r="AZ120" s="1102"/>
      <c r="BA120" s="1161"/>
      <c r="BB120" s="2"/>
      <c r="BC120" s="2"/>
      <c r="BD120" s="2"/>
      <c r="BE120" s="2"/>
      <c r="BF120" s="1160"/>
      <c r="BG120" s="1102"/>
      <c r="BH120" s="1102"/>
      <c r="BI120" s="1102"/>
      <c r="BJ120" s="1102"/>
      <c r="BK120" s="1102"/>
      <c r="BL120" s="1102"/>
      <c r="BM120" s="1102"/>
      <c r="BN120" s="1102"/>
      <c r="BO120" s="1102"/>
      <c r="BP120" s="1102"/>
      <c r="BQ120" s="1102"/>
      <c r="BR120" s="1102"/>
      <c r="BS120" s="1102"/>
      <c r="BT120" s="1102"/>
      <c r="BU120" s="1102"/>
      <c r="BV120" s="1102"/>
      <c r="BW120" s="1102"/>
      <c r="BX120" s="1102"/>
      <c r="BY120" s="1161"/>
      <c r="BZ120" s="2"/>
      <c r="CA120" s="2"/>
      <c r="CB120" s="2"/>
      <c r="CC120" s="2"/>
      <c r="CD120" s="2"/>
      <c r="CE120" s="2"/>
      <c r="CF120" s="2"/>
    </row>
    <row r="121" spans="1:84" ht="15" customHeight="1" x14ac:dyDescent="0.4">
      <c r="A121" s="2"/>
      <c r="B121" s="1137"/>
      <c r="C121" s="1137"/>
      <c r="D121" s="1137"/>
      <c r="E121" s="1137"/>
      <c r="F121" s="1137"/>
      <c r="G121" s="1138"/>
      <c r="H121" s="2"/>
      <c r="I121" s="2"/>
      <c r="J121" s="1145"/>
      <c r="K121" s="1102"/>
      <c r="L121" s="1102"/>
      <c r="M121" s="1102"/>
      <c r="N121" s="1102"/>
      <c r="O121" s="1102"/>
      <c r="P121" s="1102"/>
      <c r="Q121" s="1102"/>
      <c r="R121" s="1102"/>
      <c r="S121" s="1102"/>
      <c r="T121" s="1102"/>
      <c r="U121" s="1102"/>
      <c r="V121" s="1102"/>
      <c r="W121" s="1102"/>
      <c r="X121" s="1102"/>
      <c r="Y121" s="1102"/>
      <c r="Z121" s="1102"/>
      <c r="AA121" s="1102"/>
      <c r="AB121" s="1102"/>
      <c r="AC121" s="1146"/>
      <c r="AD121" s="2"/>
      <c r="AE121" s="2"/>
      <c r="AF121" s="2"/>
      <c r="AG121" s="2"/>
      <c r="AH121" s="1160"/>
      <c r="AI121" s="1102"/>
      <c r="AJ121" s="1102"/>
      <c r="AK121" s="1102"/>
      <c r="AL121" s="1102"/>
      <c r="AM121" s="1102"/>
      <c r="AN121" s="1102"/>
      <c r="AO121" s="1102"/>
      <c r="AP121" s="1102"/>
      <c r="AQ121" s="1102"/>
      <c r="AR121" s="1102"/>
      <c r="AS121" s="1102"/>
      <c r="AT121" s="1102"/>
      <c r="AU121" s="1102"/>
      <c r="AV121" s="1102"/>
      <c r="AW121" s="1102"/>
      <c r="AX121" s="1102"/>
      <c r="AY121" s="1102"/>
      <c r="AZ121" s="1102"/>
      <c r="BA121" s="1161"/>
      <c r="BB121" s="2"/>
      <c r="BC121" s="2"/>
      <c r="BD121" s="2"/>
      <c r="BE121" s="2"/>
      <c r="BF121" s="1160"/>
      <c r="BG121" s="1102"/>
      <c r="BH121" s="1102"/>
      <c r="BI121" s="1102"/>
      <c r="BJ121" s="1102"/>
      <c r="BK121" s="1102"/>
      <c r="BL121" s="1102"/>
      <c r="BM121" s="1102"/>
      <c r="BN121" s="1102"/>
      <c r="BO121" s="1102"/>
      <c r="BP121" s="1102"/>
      <c r="BQ121" s="1102"/>
      <c r="BR121" s="1102"/>
      <c r="BS121" s="1102"/>
      <c r="BT121" s="1102"/>
      <c r="BU121" s="1102"/>
      <c r="BV121" s="1102"/>
      <c r="BW121" s="1102"/>
      <c r="BX121" s="1102"/>
      <c r="BY121" s="1161"/>
      <c r="BZ121" s="2"/>
      <c r="CA121" s="2"/>
      <c r="CB121" s="2"/>
      <c r="CC121" s="2"/>
      <c r="CD121" s="2"/>
      <c r="CE121" s="2"/>
      <c r="CF121" s="2"/>
    </row>
    <row r="122" spans="1:84" ht="15" customHeight="1" x14ac:dyDescent="0.4">
      <c r="A122" s="2"/>
      <c r="B122" s="1137"/>
      <c r="C122" s="1137"/>
      <c r="D122" s="1137"/>
      <c r="E122" s="1137"/>
      <c r="F122" s="1137"/>
      <c r="G122" s="1138"/>
      <c r="H122" s="2"/>
      <c r="I122" s="2"/>
      <c r="J122" s="1145"/>
      <c r="K122" s="1102"/>
      <c r="L122" s="1102"/>
      <c r="M122" s="1102"/>
      <c r="N122" s="1102"/>
      <c r="O122" s="1102"/>
      <c r="P122" s="1102"/>
      <c r="Q122" s="1102"/>
      <c r="R122" s="1102"/>
      <c r="S122" s="1102"/>
      <c r="T122" s="1102"/>
      <c r="U122" s="1102"/>
      <c r="V122" s="1102"/>
      <c r="W122" s="1102"/>
      <c r="X122" s="1102"/>
      <c r="Y122" s="1102"/>
      <c r="Z122" s="1102"/>
      <c r="AA122" s="1102"/>
      <c r="AB122" s="1102"/>
      <c r="AC122" s="1146"/>
      <c r="AD122" s="2"/>
      <c r="AE122" s="2"/>
      <c r="AF122" s="2"/>
      <c r="AG122" s="2"/>
      <c r="AH122" s="1160"/>
      <c r="AI122" s="1102"/>
      <c r="AJ122" s="1102"/>
      <c r="AK122" s="1102"/>
      <c r="AL122" s="1102"/>
      <c r="AM122" s="1102"/>
      <c r="AN122" s="1102"/>
      <c r="AO122" s="1102"/>
      <c r="AP122" s="1102"/>
      <c r="AQ122" s="1102"/>
      <c r="AR122" s="1102"/>
      <c r="AS122" s="1102"/>
      <c r="AT122" s="1102"/>
      <c r="AU122" s="1102"/>
      <c r="AV122" s="1102"/>
      <c r="AW122" s="1102"/>
      <c r="AX122" s="1102"/>
      <c r="AY122" s="1102"/>
      <c r="AZ122" s="1102"/>
      <c r="BA122" s="1161"/>
      <c r="BB122" s="2"/>
      <c r="BC122" s="2"/>
      <c r="BD122" s="2"/>
      <c r="BE122" s="2"/>
      <c r="BF122" s="1160"/>
      <c r="BG122" s="1102"/>
      <c r="BH122" s="1102"/>
      <c r="BI122" s="1102"/>
      <c r="BJ122" s="1102"/>
      <c r="BK122" s="1102"/>
      <c r="BL122" s="1102"/>
      <c r="BM122" s="1102"/>
      <c r="BN122" s="1102"/>
      <c r="BO122" s="1102"/>
      <c r="BP122" s="1102"/>
      <c r="BQ122" s="1102"/>
      <c r="BR122" s="1102"/>
      <c r="BS122" s="1102"/>
      <c r="BT122" s="1102"/>
      <c r="BU122" s="1102"/>
      <c r="BV122" s="1102"/>
      <c r="BW122" s="1102"/>
      <c r="BX122" s="1102"/>
      <c r="BY122" s="1161"/>
      <c r="BZ122" s="2"/>
      <c r="CA122" s="2"/>
      <c r="CB122" s="2"/>
      <c r="CC122" s="2"/>
      <c r="CD122" s="2"/>
      <c r="CE122" s="2"/>
      <c r="CF122" s="2"/>
    </row>
    <row r="123" spans="1:84" ht="15" customHeight="1" thickBot="1" x14ac:dyDescent="0.45">
      <c r="A123" s="2"/>
      <c r="B123" s="1137"/>
      <c r="C123" s="1137"/>
      <c r="D123" s="1137"/>
      <c r="E123" s="1137"/>
      <c r="F123" s="1137"/>
      <c r="G123" s="1138"/>
      <c r="H123" s="2"/>
      <c r="I123" s="2"/>
      <c r="J123" s="1147"/>
      <c r="K123" s="1148"/>
      <c r="L123" s="1148"/>
      <c r="M123" s="1148"/>
      <c r="N123" s="1148"/>
      <c r="O123" s="1148"/>
      <c r="P123" s="1148"/>
      <c r="Q123" s="1148"/>
      <c r="R123" s="1148"/>
      <c r="S123" s="1148"/>
      <c r="T123" s="1148"/>
      <c r="U123" s="1148"/>
      <c r="V123" s="1148"/>
      <c r="W123" s="1148"/>
      <c r="X123" s="1148"/>
      <c r="Y123" s="1148"/>
      <c r="Z123" s="1148"/>
      <c r="AA123" s="1148"/>
      <c r="AB123" s="1148"/>
      <c r="AC123" s="1149"/>
      <c r="AD123" s="2"/>
      <c r="AE123" s="2"/>
      <c r="AF123" s="2"/>
      <c r="AG123" s="2"/>
      <c r="AH123" s="1162"/>
      <c r="AI123" s="1163"/>
      <c r="AJ123" s="1163"/>
      <c r="AK123" s="1163"/>
      <c r="AL123" s="1163"/>
      <c r="AM123" s="1163"/>
      <c r="AN123" s="1163"/>
      <c r="AO123" s="1163"/>
      <c r="AP123" s="1163"/>
      <c r="AQ123" s="1163"/>
      <c r="AR123" s="1163"/>
      <c r="AS123" s="1163"/>
      <c r="AT123" s="1163"/>
      <c r="AU123" s="1163"/>
      <c r="AV123" s="1163"/>
      <c r="AW123" s="1163"/>
      <c r="AX123" s="1163"/>
      <c r="AY123" s="1163"/>
      <c r="AZ123" s="1163"/>
      <c r="BA123" s="1164"/>
      <c r="BB123" s="2"/>
      <c r="BC123" s="2"/>
      <c r="BD123" s="2"/>
      <c r="BE123" s="2"/>
      <c r="BF123" s="1162"/>
      <c r="BG123" s="1163"/>
      <c r="BH123" s="1163"/>
      <c r="BI123" s="1163"/>
      <c r="BJ123" s="1163"/>
      <c r="BK123" s="1163"/>
      <c r="BL123" s="1163"/>
      <c r="BM123" s="1163"/>
      <c r="BN123" s="1163"/>
      <c r="BO123" s="1163"/>
      <c r="BP123" s="1163"/>
      <c r="BQ123" s="1163"/>
      <c r="BR123" s="1163"/>
      <c r="BS123" s="1163"/>
      <c r="BT123" s="1163"/>
      <c r="BU123" s="1163"/>
      <c r="BV123" s="1163"/>
      <c r="BW123" s="1163"/>
      <c r="BX123" s="1163"/>
      <c r="BY123" s="1164"/>
      <c r="BZ123" s="2"/>
      <c r="CA123" s="2"/>
      <c r="CB123" s="2"/>
      <c r="CC123" s="2"/>
      <c r="CD123" s="2"/>
      <c r="CE123" s="2"/>
      <c r="CF123" s="2"/>
    </row>
    <row r="124" spans="1:84" ht="15" customHeight="1" x14ac:dyDescent="0.4">
      <c r="A124" s="2"/>
      <c r="B124" s="1137"/>
      <c r="C124" s="1137"/>
      <c r="D124" s="1137"/>
      <c r="E124" s="1137"/>
      <c r="F124" s="1137"/>
      <c r="G124" s="113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</row>
    <row r="125" spans="1:84" ht="15" customHeight="1" thickBot="1" x14ac:dyDescent="0.45">
      <c r="A125" s="2"/>
      <c r="B125" s="1137"/>
      <c r="C125" s="1137"/>
      <c r="D125" s="1137"/>
      <c r="E125" s="1137"/>
      <c r="F125" s="1137"/>
      <c r="G125" s="113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</row>
    <row r="126" spans="1:84" ht="15" customHeight="1" x14ac:dyDescent="0.4">
      <c r="A126" s="2"/>
      <c r="B126" s="1137"/>
      <c r="C126" s="1137"/>
      <c r="D126" s="1137"/>
      <c r="E126" s="1137"/>
      <c r="F126" s="1137"/>
      <c r="G126" s="1138"/>
      <c r="H126" s="2"/>
      <c r="I126" s="2"/>
      <c r="J126" s="1176" t="s">
        <v>68</v>
      </c>
      <c r="K126" s="1177"/>
      <c r="L126" s="1177"/>
      <c r="M126" s="1177"/>
      <c r="N126" s="1177"/>
      <c r="O126" s="1177"/>
      <c r="P126" s="1177"/>
      <c r="Q126" s="1177"/>
      <c r="R126" s="1177"/>
      <c r="S126" s="1177"/>
      <c r="T126" s="1177"/>
      <c r="U126" s="1177"/>
      <c r="V126" s="1177"/>
      <c r="W126" s="1177"/>
      <c r="X126" s="1177"/>
      <c r="Y126" s="1177"/>
      <c r="Z126" s="1177"/>
      <c r="AA126" s="1177"/>
      <c r="AB126" s="1177"/>
      <c r="AC126" s="1178"/>
      <c r="AD126" s="2"/>
      <c r="AE126" s="2"/>
      <c r="AF126" s="2"/>
      <c r="AG126" s="2"/>
      <c r="AH126" s="1170" t="s">
        <v>86</v>
      </c>
      <c r="AI126" s="1171"/>
      <c r="AJ126" s="1171"/>
      <c r="AK126" s="1171"/>
      <c r="AL126" s="1171"/>
      <c r="AM126" s="1171"/>
      <c r="AN126" s="1171"/>
      <c r="AO126" s="1171"/>
      <c r="AP126" s="1171"/>
      <c r="AQ126" s="1171"/>
      <c r="AR126" s="1171"/>
      <c r="AS126" s="1171"/>
      <c r="AT126" s="1171"/>
      <c r="AU126" s="1171"/>
      <c r="AV126" s="1171"/>
      <c r="AW126" s="1171"/>
      <c r="AX126" s="1171"/>
      <c r="AY126" s="1171"/>
      <c r="AZ126" s="1171"/>
      <c r="BA126" s="117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</row>
    <row r="127" spans="1:84" ht="15" customHeight="1" x14ac:dyDescent="0.4">
      <c r="A127" s="2"/>
      <c r="B127" s="1137"/>
      <c r="C127" s="1137"/>
      <c r="D127" s="1137"/>
      <c r="E127" s="1137"/>
      <c r="F127" s="1137"/>
      <c r="G127" s="1138"/>
      <c r="H127" s="2"/>
      <c r="I127" s="2"/>
      <c r="J127" s="1179"/>
      <c r="K127" s="1180"/>
      <c r="L127" s="1180"/>
      <c r="M127" s="1180"/>
      <c r="N127" s="1180"/>
      <c r="O127" s="1180"/>
      <c r="P127" s="1180"/>
      <c r="Q127" s="1180"/>
      <c r="R127" s="1180"/>
      <c r="S127" s="1180"/>
      <c r="T127" s="1180"/>
      <c r="U127" s="1180"/>
      <c r="V127" s="1180"/>
      <c r="W127" s="1180"/>
      <c r="X127" s="1180"/>
      <c r="Y127" s="1180"/>
      <c r="Z127" s="1180"/>
      <c r="AA127" s="1180"/>
      <c r="AB127" s="1180"/>
      <c r="AC127" s="1181"/>
      <c r="AD127" s="2"/>
      <c r="AE127" s="2"/>
      <c r="AF127" s="2"/>
      <c r="AG127" s="2"/>
      <c r="AH127" s="1173"/>
      <c r="AI127" s="1174"/>
      <c r="AJ127" s="1174"/>
      <c r="AK127" s="1174"/>
      <c r="AL127" s="1174"/>
      <c r="AM127" s="1174"/>
      <c r="AN127" s="1174"/>
      <c r="AO127" s="1174"/>
      <c r="AP127" s="1174"/>
      <c r="AQ127" s="1174"/>
      <c r="AR127" s="1174"/>
      <c r="AS127" s="1174"/>
      <c r="AT127" s="1174"/>
      <c r="AU127" s="1174"/>
      <c r="AV127" s="1174"/>
      <c r="AW127" s="1174"/>
      <c r="AX127" s="1174"/>
      <c r="AY127" s="1174"/>
      <c r="AZ127" s="1174"/>
      <c r="BA127" s="1175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</row>
    <row r="128" spans="1:84" ht="15" customHeight="1" x14ac:dyDescent="0.4">
      <c r="A128" s="2"/>
      <c r="B128" s="1137"/>
      <c r="C128" s="1137"/>
      <c r="D128" s="1137"/>
      <c r="E128" s="1137"/>
      <c r="F128" s="1137"/>
      <c r="G128" s="1138"/>
      <c r="H128" s="2"/>
      <c r="I128" s="2"/>
      <c r="J128" s="1182" t="s">
        <v>69</v>
      </c>
      <c r="K128" s="1102"/>
      <c r="L128" s="1102"/>
      <c r="M128" s="1102"/>
      <c r="N128" s="1102"/>
      <c r="O128" s="1102"/>
      <c r="P128" s="1102"/>
      <c r="Q128" s="1102"/>
      <c r="R128" s="1102"/>
      <c r="S128" s="1102"/>
      <c r="T128" s="1102"/>
      <c r="U128" s="1102"/>
      <c r="V128" s="1102"/>
      <c r="W128" s="1102"/>
      <c r="X128" s="1102"/>
      <c r="Y128" s="1102"/>
      <c r="Z128" s="1102"/>
      <c r="AA128" s="1102"/>
      <c r="AB128" s="1102"/>
      <c r="AC128" s="1183"/>
      <c r="AD128" s="2"/>
      <c r="AE128" s="2"/>
      <c r="AF128" s="2"/>
      <c r="AG128" s="2"/>
      <c r="AH128" s="1160" t="s">
        <v>87</v>
      </c>
      <c r="AI128" s="1102"/>
      <c r="AJ128" s="1102"/>
      <c r="AK128" s="1102"/>
      <c r="AL128" s="1102"/>
      <c r="AM128" s="1102"/>
      <c r="AN128" s="1102"/>
      <c r="AO128" s="1102"/>
      <c r="AP128" s="1102"/>
      <c r="AQ128" s="1102"/>
      <c r="AR128" s="1102"/>
      <c r="AS128" s="1102"/>
      <c r="AT128" s="1102"/>
      <c r="AU128" s="1102"/>
      <c r="AV128" s="1102"/>
      <c r="AW128" s="1102"/>
      <c r="AX128" s="1102"/>
      <c r="AY128" s="1102"/>
      <c r="AZ128" s="1102"/>
      <c r="BA128" s="1161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</row>
    <row r="129" spans="1:84" ht="15" customHeight="1" x14ac:dyDescent="0.4">
      <c r="A129" s="2"/>
      <c r="B129" s="1137"/>
      <c r="C129" s="1137"/>
      <c r="D129" s="1137"/>
      <c r="E129" s="1137"/>
      <c r="F129" s="1137"/>
      <c r="G129" s="1138"/>
      <c r="H129" s="2"/>
      <c r="I129" s="2"/>
      <c r="J129" s="1182"/>
      <c r="K129" s="1102"/>
      <c r="L129" s="1102"/>
      <c r="M129" s="1102"/>
      <c r="N129" s="1102"/>
      <c r="O129" s="1102"/>
      <c r="P129" s="1102"/>
      <c r="Q129" s="1102"/>
      <c r="R129" s="1102"/>
      <c r="S129" s="1102"/>
      <c r="T129" s="1102"/>
      <c r="U129" s="1102"/>
      <c r="V129" s="1102"/>
      <c r="W129" s="1102"/>
      <c r="X129" s="1102"/>
      <c r="Y129" s="1102"/>
      <c r="Z129" s="1102"/>
      <c r="AA129" s="1102"/>
      <c r="AB129" s="1102"/>
      <c r="AC129" s="1183"/>
      <c r="AD129" s="2"/>
      <c r="AE129" s="2"/>
      <c r="AF129" s="2"/>
      <c r="AG129" s="2"/>
      <c r="AH129" s="1160"/>
      <c r="AI129" s="1102"/>
      <c r="AJ129" s="1102"/>
      <c r="AK129" s="1102"/>
      <c r="AL129" s="1102"/>
      <c r="AM129" s="1102"/>
      <c r="AN129" s="1102"/>
      <c r="AO129" s="1102"/>
      <c r="AP129" s="1102"/>
      <c r="AQ129" s="1102"/>
      <c r="AR129" s="1102"/>
      <c r="AS129" s="1102"/>
      <c r="AT129" s="1102"/>
      <c r="AU129" s="1102"/>
      <c r="AV129" s="1102"/>
      <c r="AW129" s="1102"/>
      <c r="AX129" s="1102"/>
      <c r="AY129" s="1102"/>
      <c r="AZ129" s="1102"/>
      <c r="BA129" s="1161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</row>
    <row r="130" spans="1:84" ht="15" customHeight="1" x14ac:dyDescent="0.4">
      <c r="A130" s="2"/>
      <c r="B130" s="1137"/>
      <c r="C130" s="1137"/>
      <c r="D130" s="1137"/>
      <c r="E130" s="1137"/>
      <c r="F130" s="1137"/>
      <c r="G130" s="1138"/>
      <c r="H130" s="2"/>
      <c r="I130" s="2"/>
      <c r="J130" s="1182"/>
      <c r="K130" s="1102"/>
      <c r="L130" s="1102"/>
      <c r="M130" s="1102"/>
      <c r="N130" s="1102"/>
      <c r="O130" s="1102"/>
      <c r="P130" s="1102"/>
      <c r="Q130" s="1102"/>
      <c r="R130" s="1102"/>
      <c r="S130" s="1102"/>
      <c r="T130" s="1102"/>
      <c r="U130" s="1102"/>
      <c r="V130" s="1102"/>
      <c r="W130" s="1102"/>
      <c r="X130" s="1102"/>
      <c r="Y130" s="1102"/>
      <c r="Z130" s="1102"/>
      <c r="AA130" s="1102"/>
      <c r="AB130" s="1102"/>
      <c r="AC130" s="1183"/>
      <c r="AD130" s="2"/>
      <c r="AE130" s="2"/>
      <c r="AF130" s="2"/>
      <c r="AG130" s="2"/>
      <c r="AH130" s="1160"/>
      <c r="AI130" s="1102"/>
      <c r="AJ130" s="1102"/>
      <c r="AK130" s="1102"/>
      <c r="AL130" s="1102"/>
      <c r="AM130" s="1102"/>
      <c r="AN130" s="1102"/>
      <c r="AO130" s="1102"/>
      <c r="AP130" s="1102"/>
      <c r="AQ130" s="1102"/>
      <c r="AR130" s="1102"/>
      <c r="AS130" s="1102"/>
      <c r="AT130" s="1102"/>
      <c r="AU130" s="1102"/>
      <c r="AV130" s="1102"/>
      <c r="AW130" s="1102"/>
      <c r="AX130" s="1102"/>
      <c r="AY130" s="1102"/>
      <c r="AZ130" s="1102"/>
      <c r="BA130" s="1161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</row>
    <row r="131" spans="1:84" ht="15" customHeight="1" x14ac:dyDescent="0.4">
      <c r="A131" s="2"/>
      <c r="B131" s="1137"/>
      <c r="C131" s="1137"/>
      <c r="D131" s="1137"/>
      <c r="E131" s="1137"/>
      <c r="F131" s="1137"/>
      <c r="G131" s="1138"/>
      <c r="H131" s="2"/>
      <c r="I131" s="2"/>
      <c r="J131" s="1182"/>
      <c r="K131" s="1102"/>
      <c r="L131" s="1102"/>
      <c r="M131" s="1102"/>
      <c r="N131" s="1102"/>
      <c r="O131" s="1102"/>
      <c r="P131" s="1102"/>
      <c r="Q131" s="1102"/>
      <c r="R131" s="1102"/>
      <c r="S131" s="1102"/>
      <c r="T131" s="1102"/>
      <c r="U131" s="1102"/>
      <c r="V131" s="1102"/>
      <c r="W131" s="1102"/>
      <c r="X131" s="1102"/>
      <c r="Y131" s="1102"/>
      <c r="Z131" s="1102"/>
      <c r="AA131" s="1102"/>
      <c r="AB131" s="1102"/>
      <c r="AC131" s="1183"/>
      <c r="AD131" s="2"/>
      <c r="AE131" s="2"/>
      <c r="AF131" s="2"/>
      <c r="AG131" s="2"/>
      <c r="AH131" s="1160"/>
      <c r="AI131" s="1102"/>
      <c r="AJ131" s="1102"/>
      <c r="AK131" s="1102"/>
      <c r="AL131" s="1102"/>
      <c r="AM131" s="1102"/>
      <c r="AN131" s="1102"/>
      <c r="AO131" s="1102"/>
      <c r="AP131" s="1102"/>
      <c r="AQ131" s="1102"/>
      <c r="AR131" s="1102"/>
      <c r="AS131" s="1102"/>
      <c r="AT131" s="1102"/>
      <c r="AU131" s="1102"/>
      <c r="AV131" s="1102"/>
      <c r="AW131" s="1102"/>
      <c r="AX131" s="1102"/>
      <c r="AY131" s="1102"/>
      <c r="AZ131" s="1102"/>
      <c r="BA131" s="1161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</row>
    <row r="132" spans="1:84" ht="15" customHeight="1" thickBot="1" x14ac:dyDescent="0.45">
      <c r="A132" s="2"/>
      <c r="B132" s="1137"/>
      <c r="C132" s="1137"/>
      <c r="D132" s="1137"/>
      <c r="E132" s="1137"/>
      <c r="F132" s="1137"/>
      <c r="G132" s="1138"/>
      <c r="H132" s="2"/>
      <c r="I132" s="2"/>
      <c r="J132" s="1184"/>
      <c r="K132" s="1185"/>
      <c r="L132" s="1185"/>
      <c r="M132" s="1185"/>
      <c r="N132" s="1185"/>
      <c r="O132" s="1185"/>
      <c r="P132" s="1185"/>
      <c r="Q132" s="1185"/>
      <c r="R132" s="1185"/>
      <c r="S132" s="1185"/>
      <c r="T132" s="1185"/>
      <c r="U132" s="1185"/>
      <c r="V132" s="1185"/>
      <c r="W132" s="1185"/>
      <c r="X132" s="1185"/>
      <c r="Y132" s="1185"/>
      <c r="Z132" s="1185"/>
      <c r="AA132" s="1185"/>
      <c r="AB132" s="1185"/>
      <c r="AC132" s="1186"/>
      <c r="AD132" s="2"/>
      <c r="AE132" s="2"/>
      <c r="AF132" s="2"/>
      <c r="AG132" s="2"/>
      <c r="AH132" s="1162"/>
      <c r="AI132" s="1163"/>
      <c r="AJ132" s="1163"/>
      <c r="AK132" s="1163"/>
      <c r="AL132" s="1163"/>
      <c r="AM132" s="1163"/>
      <c r="AN132" s="1163"/>
      <c r="AO132" s="1163"/>
      <c r="AP132" s="1163"/>
      <c r="AQ132" s="1163"/>
      <c r="AR132" s="1163"/>
      <c r="AS132" s="1163"/>
      <c r="AT132" s="1163"/>
      <c r="AU132" s="1163"/>
      <c r="AV132" s="1163"/>
      <c r="AW132" s="1163"/>
      <c r="AX132" s="1163"/>
      <c r="AY132" s="1163"/>
      <c r="AZ132" s="1163"/>
      <c r="BA132" s="1164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</row>
    <row r="133" spans="1:84" ht="15" customHeight="1" x14ac:dyDescent="0.4">
      <c r="A133" s="2"/>
      <c r="B133" s="1137"/>
      <c r="C133" s="1137"/>
      <c r="D133" s="1137"/>
      <c r="E133" s="1137"/>
      <c r="F133" s="1137"/>
      <c r="G133" s="113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</row>
    <row r="134" spans="1:84" ht="15" customHeight="1" thickBot="1" x14ac:dyDescent="0.45">
      <c r="A134" s="2"/>
      <c r="B134" s="1137"/>
      <c r="C134" s="1137"/>
      <c r="D134" s="1137"/>
      <c r="E134" s="1137"/>
      <c r="F134" s="1137"/>
      <c r="G134" s="113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</row>
    <row r="135" spans="1:84" ht="15" customHeight="1" x14ac:dyDescent="0.4">
      <c r="A135" s="2"/>
      <c r="B135" s="1137"/>
      <c r="C135" s="1137"/>
      <c r="D135" s="1137"/>
      <c r="E135" s="1137"/>
      <c r="F135" s="1137"/>
      <c r="G135" s="1138"/>
      <c r="H135" s="2"/>
      <c r="I135" s="2"/>
      <c r="J135" s="1139" t="s">
        <v>70</v>
      </c>
      <c r="K135" s="1140"/>
      <c r="L135" s="1140"/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40"/>
      <c r="X135" s="1140"/>
      <c r="Y135" s="1140"/>
      <c r="Z135" s="1140"/>
      <c r="AA135" s="1140"/>
      <c r="AB135" s="1140"/>
      <c r="AC135" s="1141"/>
      <c r="AD135" s="2"/>
      <c r="AE135" s="2"/>
      <c r="AF135" s="2"/>
      <c r="AG135" s="2"/>
      <c r="AH135" s="1170" t="s">
        <v>88</v>
      </c>
      <c r="AI135" s="1171"/>
      <c r="AJ135" s="1171"/>
      <c r="AK135" s="1171"/>
      <c r="AL135" s="1171"/>
      <c r="AM135" s="1171"/>
      <c r="AN135" s="1171"/>
      <c r="AO135" s="1171"/>
      <c r="AP135" s="1171"/>
      <c r="AQ135" s="1171"/>
      <c r="AR135" s="1171"/>
      <c r="AS135" s="1171"/>
      <c r="AT135" s="1171"/>
      <c r="AU135" s="1171"/>
      <c r="AV135" s="1171"/>
      <c r="AW135" s="1171"/>
      <c r="AX135" s="1171"/>
      <c r="AY135" s="1171"/>
      <c r="AZ135" s="1171"/>
      <c r="BA135" s="117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</row>
    <row r="136" spans="1:84" ht="15" customHeight="1" x14ac:dyDescent="0.4">
      <c r="A136" s="2"/>
      <c r="B136" s="1137"/>
      <c r="C136" s="1137"/>
      <c r="D136" s="1137"/>
      <c r="E136" s="1137"/>
      <c r="F136" s="1137"/>
      <c r="G136" s="1138"/>
      <c r="H136" s="2"/>
      <c r="I136" s="2"/>
      <c r="J136" s="1142"/>
      <c r="K136" s="1143"/>
      <c r="L136" s="1143"/>
      <c r="M136" s="1143"/>
      <c r="N136" s="1143"/>
      <c r="O136" s="1143"/>
      <c r="P136" s="1143"/>
      <c r="Q136" s="1143"/>
      <c r="R136" s="1143"/>
      <c r="S136" s="1143"/>
      <c r="T136" s="1143"/>
      <c r="U136" s="1143"/>
      <c r="V136" s="1143"/>
      <c r="W136" s="1143"/>
      <c r="X136" s="1143"/>
      <c r="Y136" s="1143"/>
      <c r="Z136" s="1143"/>
      <c r="AA136" s="1143"/>
      <c r="AB136" s="1143"/>
      <c r="AC136" s="1144"/>
      <c r="AD136" s="2"/>
      <c r="AE136" s="2"/>
      <c r="AF136" s="2"/>
      <c r="AG136" s="2"/>
      <c r="AH136" s="1173"/>
      <c r="AI136" s="1174"/>
      <c r="AJ136" s="1174"/>
      <c r="AK136" s="1174"/>
      <c r="AL136" s="1174"/>
      <c r="AM136" s="1174"/>
      <c r="AN136" s="1174"/>
      <c r="AO136" s="1174"/>
      <c r="AP136" s="1174"/>
      <c r="AQ136" s="1174"/>
      <c r="AR136" s="1174"/>
      <c r="AS136" s="1174"/>
      <c r="AT136" s="1174"/>
      <c r="AU136" s="1174"/>
      <c r="AV136" s="1174"/>
      <c r="AW136" s="1174"/>
      <c r="AX136" s="1174"/>
      <c r="AY136" s="1174"/>
      <c r="AZ136" s="1174"/>
      <c r="BA136" s="1175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</row>
    <row r="137" spans="1:84" ht="15" customHeight="1" x14ac:dyDescent="0.4">
      <c r="A137" s="2"/>
      <c r="B137" s="1137"/>
      <c r="C137" s="1137"/>
      <c r="D137" s="1137"/>
      <c r="E137" s="1137"/>
      <c r="F137" s="1137"/>
      <c r="G137" s="1138"/>
      <c r="H137" s="2"/>
      <c r="I137" s="2"/>
      <c r="J137" s="1145" t="s">
        <v>71</v>
      </c>
      <c r="K137" s="1102"/>
      <c r="L137" s="1102"/>
      <c r="M137" s="1102"/>
      <c r="N137" s="1102"/>
      <c r="O137" s="1102"/>
      <c r="P137" s="1102"/>
      <c r="Q137" s="1102"/>
      <c r="R137" s="1102"/>
      <c r="S137" s="1102"/>
      <c r="T137" s="1102"/>
      <c r="U137" s="1102"/>
      <c r="V137" s="1102"/>
      <c r="W137" s="1102"/>
      <c r="X137" s="1102"/>
      <c r="Y137" s="1102"/>
      <c r="Z137" s="1102"/>
      <c r="AA137" s="1102"/>
      <c r="AB137" s="1102"/>
      <c r="AC137" s="1146"/>
      <c r="AD137" s="2"/>
      <c r="AE137" s="2"/>
      <c r="AF137" s="2"/>
      <c r="AG137" s="2"/>
      <c r="AH137" s="1160" t="s">
        <v>89</v>
      </c>
      <c r="AI137" s="1102"/>
      <c r="AJ137" s="1102"/>
      <c r="AK137" s="1102"/>
      <c r="AL137" s="1102"/>
      <c r="AM137" s="1102"/>
      <c r="AN137" s="1102"/>
      <c r="AO137" s="1102"/>
      <c r="AP137" s="1102"/>
      <c r="AQ137" s="1102"/>
      <c r="AR137" s="1102"/>
      <c r="AS137" s="1102"/>
      <c r="AT137" s="1102"/>
      <c r="AU137" s="1102"/>
      <c r="AV137" s="1102"/>
      <c r="AW137" s="1102"/>
      <c r="AX137" s="1102"/>
      <c r="AY137" s="1102"/>
      <c r="AZ137" s="1102"/>
      <c r="BA137" s="1161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</row>
    <row r="138" spans="1:84" ht="15" customHeight="1" x14ac:dyDescent="0.4">
      <c r="A138" s="2"/>
      <c r="B138" s="1137"/>
      <c r="C138" s="1137"/>
      <c r="D138" s="1137"/>
      <c r="E138" s="1137"/>
      <c r="F138" s="1137"/>
      <c r="G138" s="1138"/>
      <c r="H138" s="2"/>
      <c r="I138" s="2"/>
      <c r="J138" s="1145"/>
      <c r="K138" s="1102"/>
      <c r="L138" s="1102"/>
      <c r="M138" s="1102"/>
      <c r="N138" s="1102"/>
      <c r="O138" s="1102"/>
      <c r="P138" s="1102"/>
      <c r="Q138" s="1102"/>
      <c r="R138" s="1102"/>
      <c r="S138" s="1102"/>
      <c r="T138" s="1102"/>
      <c r="U138" s="1102"/>
      <c r="V138" s="1102"/>
      <c r="W138" s="1102"/>
      <c r="X138" s="1102"/>
      <c r="Y138" s="1102"/>
      <c r="Z138" s="1102"/>
      <c r="AA138" s="1102"/>
      <c r="AB138" s="1102"/>
      <c r="AC138" s="1146"/>
      <c r="AD138" s="2"/>
      <c r="AE138" s="2"/>
      <c r="AF138" s="2"/>
      <c r="AG138" s="2"/>
      <c r="AH138" s="1160"/>
      <c r="AI138" s="1102"/>
      <c r="AJ138" s="1102"/>
      <c r="AK138" s="1102"/>
      <c r="AL138" s="1102"/>
      <c r="AM138" s="1102"/>
      <c r="AN138" s="1102"/>
      <c r="AO138" s="1102"/>
      <c r="AP138" s="1102"/>
      <c r="AQ138" s="1102"/>
      <c r="AR138" s="1102"/>
      <c r="AS138" s="1102"/>
      <c r="AT138" s="1102"/>
      <c r="AU138" s="1102"/>
      <c r="AV138" s="1102"/>
      <c r="AW138" s="1102"/>
      <c r="AX138" s="1102"/>
      <c r="AY138" s="1102"/>
      <c r="AZ138" s="1102"/>
      <c r="BA138" s="1161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</row>
    <row r="139" spans="1:84" ht="15" customHeight="1" x14ac:dyDescent="0.4">
      <c r="A139" s="2"/>
      <c r="B139" s="1137"/>
      <c r="C139" s="1137"/>
      <c r="D139" s="1137"/>
      <c r="E139" s="1137"/>
      <c r="F139" s="1137"/>
      <c r="G139" s="1138"/>
      <c r="H139" s="2"/>
      <c r="I139" s="2"/>
      <c r="J139" s="1145"/>
      <c r="K139" s="1102"/>
      <c r="L139" s="1102"/>
      <c r="M139" s="1102"/>
      <c r="N139" s="1102"/>
      <c r="O139" s="1102"/>
      <c r="P139" s="1102"/>
      <c r="Q139" s="1102"/>
      <c r="R139" s="1102"/>
      <c r="S139" s="1102"/>
      <c r="T139" s="1102"/>
      <c r="U139" s="1102"/>
      <c r="V139" s="1102"/>
      <c r="W139" s="1102"/>
      <c r="X139" s="1102"/>
      <c r="Y139" s="1102"/>
      <c r="Z139" s="1102"/>
      <c r="AA139" s="1102"/>
      <c r="AB139" s="1102"/>
      <c r="AC139" s="1146"/>
      <c r="AD139" s="2"/>
      <c r="AE139" s="2"/>
      <c r="AF139" s="2"/>
      <c r="AG139" s="2"/>
      <c r="AH139" s="1160"/>
      <c r="AI139" s="1102"/>
      <c r="AJ139" s="1102"/>
      <c r="AK139" s="1102"/>
      <c r="AL139" s="1102"/>
      <c r="AM139" s="1102"/>
      <c r="AN139" s="1102"/>
      <c r="AO139" s="1102"/>
      <c r="AP139" s="1102"/>
      <c r="AQ139" s="1102"/>
      <c r="AR139" s="1102"/>
      <c r="AS139" s="1102"/>
      <c r="AT139" s="1102"/>
      <c r="AU139" s="1102"/>
      <c r="AV139" s="1102"/>
      <c r="AW139" s="1102"/>
      <c r="AX139" s="1102"/>
      <c r="AY139" s="1102"/>
      <c r="AZ139" s="1102"/>
      <c r="BA139" s="1161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</row>
    <row r="140" spans="1:84" ht="15" customHeight="1" x14ac:dyDescent="0.4">
      <c r="A140" s="2"/>
      <c r="B140" s="1137"/>
      <c r="C140" s="1137"/>
      <c r="D140" s="1137"/>
      <c r="E140" s="1137"/>
      <c r="F140" s="1137"/>
      <c r="G140" s="1138"/>
      <c r="H140" s="2"/>
      <c r="I140" s="2"/>
      <c r="J140" s="1145"/>
      <c r="K140" s="1102"/>
      <c r="L140" s="1102"/>
      <c r="M140" s="1102"/>
      <c r="N140" s="1102"/>
      <c r="O140" s="1102"/>
      <c r="P140" s="1102"/>
      <c r="Q140" s="1102"/>
      <c r="R140" s="1102"/>
      <c r="S140" s="1102"/>
      <c r="T140" s="1102"/>
      <c r="U140" s="1102"/>
      <c r="V140" s="1102"/>
      <c r="W140" s="1102"/>
      <c r="X140" s="1102"/>
      <c r="Y140" s="1102"/>
      <c r="Z140" s="1102"/>
      <c r="AA140" s="1102"/>
      <c r="AB140" s="1102"/>
      <c r="AC140" s="1146"/>
      <c r="AD140" s="2"/>
      <c r="AE140" s="2"/>
      <c r="AF140" s="2"/>
      <c r="AG140" s="2"/>
      <c r="AH140" s="1160"/>
      <c r="AI140" s="1102"/>
      <c r="AJ140" s="1102"/>
      <c r="AK140" s="1102"/>
      <c r="AL140" s="1102"/>
      <c r="AM140" s="1102"/>
      <c r="AN140" s="1102"/>
      <c r="AO140" s="1102"/>
      <c r="AP140" s="1102"/>
      <c r="AQ140" s="1102"/>
      <c r="AR140" s="1102"/>
      <c r="AS140" s="1102"/>
      <c r="AT140" s="1102"/>
      <c r="AU140" s="1102"/>
      <c r="AV140" s="1102"/>
      <c r="AW140" s="1102"/>
      <c r="AX140" s="1102"/>
      <c r="AY140" s="1102"/>
      <c r="AZ140" s="1102"/>
      <c r="BA140" s="1161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</row>
    <row r="141" spans="1:84" ht="15" customHeight="1" thickBot="1" x14ac:dyDescent="0.45">
      <c r="A141" s="2"/>
      <c r="B141" s="1137"/>
      <c r="C141" s="1137"/>
      <c r="D141" s="1137"/>
      <c r="E141" s="1137"/>
      <c r="F141" s="1137"/>
      <c r="G141" s="1138"/>
      <c r="H141" s="2"/>
      <c r="I141" s="2"/>
      <c r="J141" s="1147"/>
      <c r="K141" s="1148"/>
      <c r="L141" s="1148"/>
      <c r="M141" s="1148"/>
      <c r="N141" s="1148"/>
      <c r="O141" s="1148"/>
      <c r="P141" s="1148"/>
      <c r="Q141" s="1148"/>
      <c r="R141" s="1148"/>
      <c r="S141" s="1148"/>
      <c r="T141" s="1148"/>
      <c r="U141" s="1148"/>
      <c r="V141" s="1148"/>
      <c r="W141" s="1148"/>
      <c r="X141" s="1148"/>
      <c r="Y141" s="1148"/>
      <c r="Z141" s="1148"/>
      <c r="AA141" s="1148"/>
      <c r="AB141" s="1148"/>
      <c r="AC141" s="1149"/>
      <c r="AD141" s="2"/>
      <c r="AE141" s="2"/>
      <c r="AF141" s="2"/>
      <c r="AG141" s="2"/>
      <c r="AH141" s="1162"/>
      <c r="AI141" s="1163"/>
      <c r="AJ141" s="1163"/>
      <c r="AK141" s="1163"/>
      <c r="AL141" s="1163"/>
      <c r="AM141" s="1163"/>
      <c r="AN141" s="1163"/>
      <c r="AO141" s="1163"/>
      <c r="AP141" s="1163"/>
      <c r="AQ141" s="1163"/>
      <c r="AR141" s="1163"/>
      <c r="AS141" s="1163"/>
      <c r="AT141" s="1163"/>
      <c r="AU141" s="1163"/>
      <c r="AV141" s="1163"/>
      <c r="AW141" s="1163"/>
      <c r="AX141" s="1163"/>
      <c r="AY141" s="1163"/>
      <c r="AZ141" s="1163"/>
      <c r="BA141" s="1164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</row>
    <row r="142" spans="1:84" ht="1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</row>
    <row r="143" spans="1:84" ht="15" customHeight="1" thickBo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</row>
    <row r="144" spans="1:84" ht="15" customHeight="1" x14ac:dyDescent="0.4">
      <c r="A144" s="2"/>
      <c r="B144" s="1137" t="s">
        <v>41</v>
      </c>
      <c r="C144" s="1137"/>
      <c r="D144" s="1137"/>
      <c r="E144" s="1137"/>
      <c r="F144" s="1137"/>
      <c r="G144" s="1138"/>
      <c r="H144" s="2"/>
      <c r="I144" s="2"/>
      <c r="J144" s="1139" t="s">
        <v>72</v>
      </c>
      <c r="K144" s="1140"/>
      <c r="L144" s="1140"/>
      <c r="M144" s="1140"/>
      <c r="N144" s="1140"/>
      <c r="O144" s="1140"/>
      <c r="P144" s="1140"/>
      <c r="Q144" s="1140"/>
      <c r="R144" s="1140"/>
      <c r="S144" s="1140"/>
      <c r="T144" s="1140"/>
      <c r="U144" s="1140"/>
      <c r="V144" s="1140"/>
      <c r="W144" s="1140"/>
      <c r="X144" s="1140"/>
      <c r="Y144" s="1140"/>
      <c r="Z144" s="1140"/>
      <c r="AA144" s="1140"/>
      <c r="AB144" s="1140"/>
      <c r="AC144" s="1141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</row>
    <row r="145" spans="1:84" ht="15" customHeight="1" x14ac:dyDescent="0.4">
      <c r="A145" s="2"/>
      <c r="B145" s="1137"/>
      <c r="C145" s="1137"/>
      <c r="D145" s="1137"/>
      <c r="E145" s="1137"/>
      <c r="F145" s="1137"/>
      <c r="G145" s="1138"/>
      <c r="H145" s="2"/>
      <c r="I145" s="2"/>
      <c r="J145" s="1142"/>
      <c r="K145" s="1143"/>
      <c r="L145" s="1143"/>
      <c r="M145" s="1143"/>
      <c r="N145" s="1143"/>
      <c r="O145" s="1143"/>
      <c r="P145" s="1143"/>
      <c r="Q145" s="1143"/>
      <c r="R145" s="1143"/>
      <c r="S145" s="1143"/>
      <c r="T145" s="1143"/>
      <c r="U145" s="1143"/>
      <c r="V145" s="1143"/>
      <c r="W145" s="1143"/>
      <c r="X145" s="1143"/>
      <c r="Y145" s="1143"/>
      <c r="Z145" s="1143"/>
      <c r="AA145" s="1143"/>
      <c r="AB145" s="1143"/>
      <c r="AC145" s="1144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</row>
    <row r="146" spans="1:84" ht="15" customHeight="1" x14ac:dyDescent="0.4">
      <c r="A146" s="2"/>
      <c r="B146" s="1137"/>
      <c r="C146" s="1137"/>
      <c r="D146" s="1137"/>
      <c r="E146" s="1137"/>
      <c r="F146" s="1137"/>
      <c r="G146" s="1138"/>
      <c r="H146" s="2"/>
      <c r="I146" s="2"/>
      <c r="J146" s="1145" t="s">
        <v>73</v>
      </c>
      <c r="K146" s="1102"/>
      <c r="L146" s="1102"/>
      <c r="M146" s="1102"/>
      <c r="N146" s="1102"/>
      <c r="O146" s="1102"/>
      <c r="P146" s="1102"/>
      <c r="Q146" s="1102"/>
      <c r="R146" s="1102"/>
      <c r="S146" s="1102"/>
      <c r="T146" s="1102"/>
      <c r="U146" s="1102"/>
      <c r="V146" s="1102"/>
      <c r="W146" s="1102"/>
      <c r="X146" s="1102"/>
      <c r="Y146" s="1102"/>
      <c r="Z146" s="1102"/>
      <c r="AA146" s="1102"/>
      <c r="AB146" s="1102"/>
      <c r="AC146" s="1146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</row>
    <row r="147" spans="1:84" ht="15" customHeight="1" x14ac:dyDescent="0.4">
      <c r="A147" s="2"/>
      <c r="B147" s="1137"/>
      <c r="C147" s="1137"/>
      <c r="D147" s="1137"/>
      <c r="E147" s="1137"/>
      <c r="F147" s="1137"/>
      <c r="G147" s="1138"/>
      <c r="H147" s="2"/>
      <c r="I147" s="2"/>
      <c r="J147" s="1145"/>
      <c r="K147" s="1102"/>
      <c r="L147" s="1102"/>
      <c r="M147" s="1102"/>
      <c r="N147" s="1102"/>
      <c r="O147" s="1102"/>
      <c r="P147" s="1102"/>
      <c r="Q147" s="1102"/>
      <c r="R147" s="1102"/>
      <c r="S147" s="1102"/>
      <c r="T147" s="1102"/>
      <c r="U147" s="1102"/>
      <c r="V147" s="1102"/>
      <c r="W147" s="1102"/>
      <c r="X147" s="1102"/>
      <c r="Y147" s="1102"/>
      <c r="Z147" s="1102"/>
      <c r="AA147" s="1102"/>
      <c r="AB147" s="1102"/>
      <c r="AC147" s="1146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</row>
    <row r="148" spans="1:84" ht="15" customHeight="1" x14ac:dyDescent="0.4">
      <c r="A148" s="2"/>
      <c r="B148" s="1137"/>
      <c r="C148" s="1137"/>
      <c r="D148" s="1137"/>
      <c r="E148" s="1137"/>
      <c r="F148" s="1137"/>
      <c r="G148" s="1138"/>
      <c r="H148" s="2"/>
      <c r="I148" s="2"/>
      <c r="J148" s="1145"/>
      <c r="K148" s="1102"/>
      <c r="L148" s="1102"/>
      <c r="M148" s="1102"/>
      <c r="N148" s="1102"/>
      <c r="O148" s="1102"/>
      <c r="P148" s="1102"/>
      <c r="Q148" s="1102"/>
      <c r="R148" s="1102"/>
      <c r="S148" s="1102"/>
      <c r="T148" s="1102"/>
      <c r="U148" s="1102"/>
      <c r="V148" s="1102"/>
      <c r="W148" s="1102"/>
      <c r="X148" s="1102"/>
      <c r="Y148" s="1102"/>
      <c r="Z148" s="1102"/>
      <c r="AA148" s="1102"/>
      <c r="AB148" s="1102"/>
      <c r="AC148" s="1146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</row>
    <row r="149" spans="1:84" ht="15" customHeight="1" x14ac:dyDescent="0.4">
      <c r="A149" s="2"/>
      <c r="B149" s="1137"/>
      <c r="C149" s="1137"/>
      <c r="D149" s="1137"/>
      <c r="E149" s="1137"/>
      <c r="F149" s="1137"/>
      <c r="G149" s="1138"/>
      <c r="H149" s="2"/>
      <c r="I149" s="2"/>
      <c r="J149" s="1145"/>
      <c r="K149" s="1102"/>
      <c r="L149" s="1102"/>
      <c r="M149" s="1102"/>
      <c r="N149" s="1102"/>
      <c r="O149" s="1102"/>
      <c r="P149" s="1102"/>
      <c r="Q149" s="1102"/>
      <c r="R149" s="1102"/>
      <c r="S149" s="1102"/>
      <c r="T149" s="1102"/>
      <c r="U149" s="1102"/>
      <c r="V149" s="1102"/>
      <c r="W149" s="1102"/>
      <c r="X149" s="1102"/>
      <c r="Y149" s="1102"/>
      <c r="Z149" s="1102"/>
      <c r="AA149" s="1102"/>
      <c r="AB149" s="1102"/>
      <c r="AC149" s="1146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</row>
    <row r="150" spans="1:84" ht="15" customHeight="1" thickBot="1" x14ac:dyDescent="0.45">
      <c r="A150" s="2"/>
      <c r="B150" s="1137"/>
      <c r="C150" s="1137"/>
      <c r="D150" s="1137"/>
      <c r="E150" s="1137"/>
      <c r="F150" s="1137"/>
      <c r="G150" s="1138"/>
      <c r="H150" s="2"/>
      <c r="I150" s="2"/>
      <c r="J150" s="1147"/>
      <c r="K150" s="1148"/>
      <c r="L150" s="1148"/>
      <c r="M150" s="1148"/>
      <c r="N150" s="1148"/>
      <c r="O150" s="1148"/>
      <c r="P150" s="1148"/>
      <c r="Q150" s="1148"/>
      <c r="R150" s="1148"/>
      <c r="S150" s="1148"/>
      <c r="T150" s="1148"/>
      <c r="U150" s="1148"/>
      <c r="V150" s="1148"/>
      <c r="W150" s="1148"/>
      <c r="X150" s="1148"/>
      <c r="Y150" s="1148"/>
      <c r="Z150" s="1148"/>
      <c r="AA150" s="1148"/>
      <c r="AB150" s="1148"/>
      <c r="AC150" s="1149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</row>
    <row r="151" spans="1:84" ht="15" customHeight="1" x14ac:dyDescent="0.4">
      <c r="A151" s="2"/>
      <c r="B151" s="1137"/>
      <c r="C151" s="1137"/>
      <c r="D151" s="1137"/>
      <c r="E151" s="1137"/>
      <c r="F151" s="1137"/>
      <c r="G151" s="113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</row>
    <row r="152" spans="1:84" ht="15" customHeight="1" thickBot="1" x14ac:dyDescent="0.45">
      <c r="A152" s="2"/>
      <c r="B152" s="1137"/>
      <c r="C152" s="1137"/>
      <c r="D152" s="1137"/>
      <c r="E152" s="1137"/>
      <c r="F152" s="1137"/>
      <c r="G152" s="113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</row>
    <row r="153" spans="1:84" ht="15" customHeight="1" x14ac:dyDescent="0.4">
      <c r="A153" s="2"/>
      <c r="B153" s="1137"/>
      <c r="C153" s="1137"/>
      <c r="D153" s="1137"/>
      <c r="E153" s="1137"/>
      <c r="F153" s="1137"/>
      <c r="G153" s="1138"/>
      <c r="H153" s="2"/>
      <c r="I153" s="2"/>
      <c r="J153" s="1176" t="s">
        <v>74</v>
      </c>
      <c r="K153" s="1177"/>
      <c r="L153" s="1177"/>
      <c r="M153" s="1177"/>
      <c r="N153" s="1177"/>
      <c r="O153" s="1177"/>
      <c r="P153" s="1177"/>
      <c r="Q153" s="1177"/>
      <c r="R153" s="1177"/>
      <c r="S153" s="1177"/>
      <c r="T153" s="1177"/>
      <c r="U153" s="1177"/>
      <c r="V153" s="1177"/>
      <c r="W153" s="1177"/>
      <c r="X153" s="1177"/>
      <c r="Y153" s="1177"/>
      <c r="Z153" s="1177"/>
      <c r="AA153" s="1177"/>
      <c r="AB153" s="1177"/>
      <c r="AC153" s="1178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</row>
    <row r="154" spans="1:84" ht="15" customHeight="1" x14ac:dyDescent="0.4">
      <c r="A154" s="2"/>
      <c r="B154" s="1137"/>
      <c r="C154" s="1137"/>
      <c r="D154" s="1137"/>
      <c r="E154" s="1137"/>
      <c r="F154" s="1137"/>
      <c r="G154" s="1138"/>
      <c r="H154" s="2"/>
      <c r="I154" s="2"/>
      <c r="J154" s="1179"/>
      <c r="K154" s="1180"/>
      <c r="L154" s="1180"/>
      <c r="M154" s="1180"/>
      <c r="N154" s="1180"/>
      <c r="O154" s="1180"/>
      <c r="P154" s="1180"/>
      <c r="Q154" s="1180"/>
      <c r="R154" s="1180"/>
      <c r="S154" s="1180"/>
      <c r="T154" s="1180"/>
      <c r="U154" s="1180"/>
      <c r="V154" s="1180"/>
      <c r="W154" s="1180"/>
      <c r="X154" s="1180"/>
      <c r="Y154" s="1180"/>
      <c r="Z154" s="1180"/>
      <c r="AA154" s="1180"/>
      <c r="AB154" s="1180"/>
      <c r="AC154" s="1181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</row>
    <row r="155" spans="1:84" ht="15" customHeight="1" x14ac:dyDescent="0.4">
      <c r="A155" s="2"/>
      <c r="B155" s="1137"/>
      <c r="C155" s="1137"/>
      <c r="D155" s="1137"/>
      <c r="E155" s="1137"/>
      <c r="F155" s="1137"/>
      <c r="G155" s="1138"/>
      <c r="H155" s="2"/>
      <c r="I155" s="2"/>
      <c r="J155" s="1182" t="s">
        <v>75</v>
      </c>
      <c r="K155" s="1102"/>
      <c r="L155" s="1102"/>
      <c r="M155" s="1102"/>
      <c r="N155" s="1102"/>
      <c r="O155" s="1102"/>
      <c r="P155" s="1102"/>
      <c r="Q155" s="1102"/>
      <c r="R155" s="1102"/>
      <c r="S155" s="1102"/>
      <c r="T155" s="1102"/>
      <c r="U155" s="1102"/>
      <c r="V155" s="1102"/>
      <c r="W155" s="1102"/>
      <c r="X155" s="1102"/>
      <c r="Y155" s="1102"/>
      <c r="Z155" s="1102"/>
      <c r="AA155" s="1102"/>
      <c r="AB155" s="1102"/>
      <c r="AC155" s="1183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</row>
    <row r="156" spans="1:84" ht="15" customHeight="1" x14ac:dyDescent="0.4">
      <c r="A156" s="2"/>
      <c r="B156" s="1137"/>
      <c r="C156" s="1137"/>
      <c r="D156" s="1137"/>
      <c r="E156" s="1137"/>
      <c r="F156" s="1137"/>
      <c r="G156" s="1138"/>
      <c r="H156" s="2"/>
      <c r="I156" s="2"/>
      <c r="J156" s="1182"/>
      <c r="K156" s="1102"/>
      <c r="L156" s="1102"/>
      <c r="M156" s="1102"/>
      <c r="N156" s="1102"/>
      <c r="O156" s="1102"/>
      <c r="P156" s="1102"/>
      <c r="Q156" s="1102"/>
      <c r="R156" s="1102"/>
      <c r="S156" s="1102"/>
      <c r="T156" s="1102"/>
      <c r="U156" s="1102"/>
      <c r="V156" s="1102"/>
      <c r="W156" s="1102"/>
      <c r="X156" s="1102"/>
      <c r="Y156" s="1102"/>
      <c r="Z156" s="1102"/>
      <c r="AA156" s="1102"/>
      <c r="AB156" s="1102"/>
      <c r="AC156" s="1183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</row>
    <row r="157" spans="1:84" ht="15" customHeight="1" x14ac:dyDescent="0.4">
      <c r="A157" s="2"/>
      <c r="B157" s="1137"/>
      <c r="C157" s="1137"/>
      <c r="D157" s="1137"/>
      <c r="E157" s="1137"/>
      <c r="F157" s="1137"/>
      <c r="G157" s="1138"/>
      <c r="H157" s="2"/>
      <c r="I157" s="2"/>
      <c r="J157" s="1182"/>
      <c r="K157" s="1102"/>
      <c r="L157" s="1102"/>
      <c r="M157" s="1102"/>
      <c r="N157" s="1102"/>
      <c r="O157" s="1102"/>
      <c r="P157" s="1102"/>
      <c r="Q157" s="1102"/>
      <c r="R157" s="1102"/>
      <c r="S157" s="1102"/>
      <c r="T157" s="1102"/>
      <c r="U157" s="1102"/>
      <c r="V157" s="1102"/>
      <c r="W157" s="1102"/>
      <c r="X157" s="1102"/>
      <c r="Y157" s="1102"/>
      <c r="Z157" s="1102"/>
      <c r="AA157" s="1102"/>
      <c r="AB157" s="1102"/>
      <c r="AC157" s="1183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</row>
    <row r="158" spans="1:84" ht="15" customHeight="1" x14ac:dyDescent="0.4">
      <c r="A158" s="2"/>
      <c r="B158" s="1137"/>
      <c r="C158" s="1137"/>
      <c r="D158" s="1137"/>
      <c r="E158" s="1137"/>
      <c r="F158" s="1137"/>
      <c r="G158" s="1138"/>
      <c r="H158" s="2"/>
      <c r="I158" s="2"/>
      <c r="J158" s="1182"/>
      <c r="K158" s="1102"/>
      <c r="L158" s="1102"/>
      <c r="M158" s="1102"/>
      <c r="N158" s="1102"/>
      <c r="O158" s="1102"/>
      <c r="P158" s="1102"/>
      <c r="Q158" s="1102"/>
      <c r="R158" s="1102"/>
      <c r="S158" s="1102"/>
      <c r="T158" s="1102"/>
      <c r="U158" s="1102"/>
      <c r="V158" s="1102"/>
      <c r="W158" s="1102"/>
      <c r="X158" s="1102"/>
      <c r="Y158" s="1102"/>
      <c r="Z158" s="1102"/>
      <c r="AA158" s="1102"/>
      <c r="AB158" s="1102"/>
      <c r="AC158" s="1183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</row>
    <row r="159" spans="1:84" ht="15" customHeight="1" thickBot="1" x14ac:dyDescent="0.45">
      <c r="A159" s="2"/>
      <c r="B159" s="1137"/>
      <c r="C159" s="1137"/>
      <c r="D159" s="1137"/>
      <c r="E159" s="1137"/>
      <c r="F159" s="1137"/>
      <c r="G159" s="1138"/>
      <c r="H159" s="2"/>
      <c r="I159" s="2"/>
      <c r="J159" s="1184"/>
      <c r="K159" s="1185"/>
      <c r="L159" s="1185"/>
      <c r="M159" s="1185"/>
      <c r="N159" s="1185"/>
      <c r="O159" s="1185"/>
      <c r="P159" s="1185"/>
      <c r="Q159" s="1185"/>
      <c r="R159" s="1185"/>
      <c r="S159" s="1185"/>
      <c r="T159" s="1185"/>
      <c r="U159" s="1185"/>
      <c r="V159" s="1185"/>
      <c r="W159" s="1185"/>
      <c r="X159" s="1185"/>
      <c r="Y159" s="1185"/>
      <c r="Z159" s="1185"/>
      <c r="AA159" s="1185"/>
      <c r="AB159" s="1185"/>
      <c r="AC159" s="1186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</row>
    <row r="160" spans="1:84" ht="15" customHeight="1" x14ac:dyDescent="0.4">
      <c r="A160" s="2"/>
      <c r="B160" s="1137"/>
      <c r="C160" s="1137"/>
      <c r="D160" s="1137"/>
      <c r="E160" s="1137"/>
      <c r="F160" s="1137"/>
      <c r="G160" s="113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</row>
    <row r="161" spans="1:84" ht="15" customHeight="1" thickBot="1" x14ac:dyDescent="0.45">
      <c r="A161" s="2"/>
      <c r="B161" s="1137"/>
      <c r="C161" s="1137"/>
      <c r="D161" s="1137"/>
      <c r="E161" s="1137"/>
      <c r="F161" s="1137"/>
      <c r="G161" s="113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</row>
    <row r="162" spans="1:84" ht="15" customHeight="1" x14ac:dyDescent="0.4">
      <c r="A162" s="2"/>
      <c r="B162" s="1137"/>
      <c r="C162" s="1137"/>
      <c r="D162" s="1137"/>
      <c r="E162" s="1137"/>
      <c r="F162" s="1137"/>
      <c r="G162" s="1138"/>
      <c r="H162" s="2"/>
      <c r="I162" s="2"/>
      <c r="J162" s="1187" t="s">
        <v>76</v>
      </c>
      <c r="K162" s="1188"/>
      <c r="L162" s="1188"/>
      <c r="M162" s="1188"/>
      <c r="N162" s="1188"/>
      <c r="O162" s="1188"/>
      <c r="P162" s="1188"/>
      <c r="Q162" s="1188"/>
      <c r="R162" s="1188"/>
      <c r="S162" s="1188"/>
      <c r="T162" s="1188"/>
      <c r="U162" s="1188"/>
      <c r="V162" s="1188"/>
      <c r="W162" s="1188"/>
      <c r="X162" s="1188"/>
      <c r="Y162" s="1188"/>
      <c r="Z162" s="1188"/>
      <c r="AA162" s="1188"/>
      <c r="AB162" s="1188"/>
      <c r="AC162" s="1189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</row>
    <row r="163" spans="1:84" ht="15" customHeight="1" x14ac:dyDescent="0.4">
      <c r="A163" s="2"/>
      <c r="B163" s="1137"/>
      <c r="C163" s="1137"/>
      <c r="D163" s="1137"/>
      <c r="E163" s="1137"/>
      <c r="F163" s="1137"/>
      <c r="G163" s="1138"/>
      <c r="H163" s="2"/>
      <c r="I163" s="2"/>
      <c r="J163" s="1190"/>
      <c r="K163" s="1191"/>
      <c r="L163" s="1191"/>
      <c r="M163" s="1191"/>
      <c r="N163" s="1191"/>
      <c r="O163" s="1191"/>
      <c r="P163" s="1191"/>
      <c r="Q163" s="1191"/>
      <c r="R163" s="1191"/>
      <c r="S163" s="1191"/>
      <c r="T163" s="1191"/>
      <c r="U163" s="1191"/>
      <c r="V163" s="1191"/>
      <c r="W163" s="1191"/>
      <c r="X163" s="1191"/>
      <c r="Y163" s="1191"/>
      <c r="Z163" s="1191"/>
      <c r="AA163" s="1191"/>
      <c r="AB163" s="1191"/>
      <c r="AC163" s="119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</row>
    <row r="164" spans="1:84" ht="15" customHeight="1" x14ac:dyDescent="0.4">
      <c r="A164" s="2"/>
      <c r="B164" s="1137"/>
      <c r="C164" s="1137"/>
      <c r="D164" s="1137"/>
      <c r="E164" s="1137"/>
      <c r="F164" s="1137"/>
      <c r="G164" s="1138"/>
      <c r="H164" s="2"/>
      <c r="I164" s="2"/>
      <c r="J164" s="1193" t="s">
        <v>77</v>
      </c>
      <c r="K164" s="1102"/>
      <c r="L164" s="1102"/>
      <c r="M164" s="1102"/>
      <c r="N164" s="1102"/>
      <c r="O164" s="1102"/>
      <c r="P164" s="1102"/>
      <c r="Q164" s="1102"/>
      <c r="R164" s="1102"/>
      <c r="S164" s="1102"/>
      <c r="T164" s="1102"/>
      <c r="U164" s="1102"/>
      <c r="V164" s="1102"/>
      <c r="W164" s="1102"/>
      <c r="X164" s="1102"/>
      <c r="Y164" s="1102"/>
      <c r="Z164" s="1102"/>
      <c r="AA164" s="1102"/>
      <c r="AB164" s="1102"/>
      <c r="AC164" s="1194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</row>
    <row r="165" spans="1:84" ht="15" customHeight="1" x14ac:dyDescent="0.4">
      <c r="A165" s="2"/>
      <c r="B165" s="1137"/>
      <c r="C165" s="1137"/>
      <c r="D165" s="1137"/>
      <c r="E165" s="1137"/>
      <c r="F165" s="1137"/>
      <c r="G165" s="1138"/>
      <c r="H165" s="2"/>
      <c r="I165" s="2"/>
      <c r="J165" s="1193"/>
      <c r="K165" s="1102"/>
      <c r="L165" s="1102"/>
      <c r="M165" s="1102"/>
      <c r="N165" s="1102"/>
      <c r="O165" s="1102"/>
      <c r="P165" s="1102"/>
      <c r="Q165" s="1102"/>
      <c r="R165" s="1102"/>
      <c r="S165" s="1102"/>
      <c r="T165" s="1102"/>
      <c r="U165" s="1102"/>
      <c r="V165" s="1102"/>
      <c r="W165" s="1102"/>
      <c r="X165" s="1102"/>
      <c r="Y165" s="1102"/>
      <c r="Z165" s="1102"/>
      <c r="AA165" s="1102"/>
      <c r="AB165" s="1102"/>
      <c r="AC165" s="1194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</row>
    <row r="166" spans="1:84" ht="15" customHeight="1" x14ac:dyDescent="0.4">
      <c r="A166" s="2"/>
      <c r="B166" s="1137"/>
      <c r="C166" s="1137"/>
      <c r="D166" s="1137"/>
      <c r="E166" s="1137"/>
      <c r="F166" s="1137"/>
      <c r="G166" s="1138"/>
      <c r="H166" s="2"/>
      <c r="I166" s="2"/>
      <c r="J166" s="1193"/>
      <c r="K166" s="1102"/>
      <c r="L166" s="1102"/>
      <c r="M166" s="1102"/>
      <c r="N166" s="1102"/>
      <c r="O166" s="1102"/>
      <c r="P166" s="1102"/>
      <c r="Q166" s="1102"/>
      <c r="R166" s="1102"/>
      <c r="S166" s="1102"/>
      <c r="T166" s="1102"/>
      <c r="U166" s="1102"/>
      <c r="V166" s="1102"/>
      <c r="W166" s="1102"/>
      <c r="X166" s="1102"/>
      <c r="Y166" s="1102"/>
      <c r="Z166" s="1102"/>
      <c r="AA166" s="1102"/>
      <c r="AB166" s="1102"/>
      <c r="AC166" s="1194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</row>
    <row r="167" spans="1:84" ht="15" customHeight="1" x14ac:dyDescent="0.4">
      <c r="A167" s="2"/>
      <c r="B167" s="1137"/>
      <c r="C167" s="1137"/>
      <c r="D167" s="1137"/>
      <c r="E167" s="1137"/>
      <c r="F167" s="1137"/>
      <c r="G167" s="1138"/>
      <c r="H167" s="2"/>
      <c r="I167" s="2"/>
      <c r="J167" s="1193"/>
      <c r="K167" s="1102"/>
      <c r="L167" s="1102"/>
      <c r="M167" s="1102"/>
      <c r="N167" s="1102"/>
      <c r="O167" s="1102"/>
      <c r="P167" s="1102"/>
      <c r="Q167" s="1102"/>
      <c r="R167" s="1102"/>
      <c r="S167" s="1102"/>
      <c r="T167" s="1102"/>
      <c r="U167" s="1102"/>
      <c r="V167" s="1102"/>
      <c r="W167" s="1102"/>
      <c r="X167" s="1102"/>
      <c r="Y167" s="1102"/>
      <c r="Z167" s="1102"/>
      <c r="AA167" s="1102"/>
      <c r="AB167" s="1102"/>
      <c r="AC167" s="1194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</row>
    <row r="168" spans="1:84" ht="15" customHeight="1" thickBot="1" x14ac:dyDescent="0.45">
      <c r="A168" s="2"/>
      <c r="B168" s="1137"/>
      <c r="C168" s="1137"/>
      <c r="D168" s="1137"/>
      <c r="E168" s="1137"/>
      <c r="F168" s="1137"/>
      <c r="G168" s="1138"/>
      <c r="H168" s="2"/>
      <c r="I168" s="2"/>
      <c r="J168" s="1195"/>
      <c r="K168" s="1196"/>
      <c r="L168" s="1196"/>
      <c r="M168" s="1196"/>
      <c r="N168" s="1196"/>
      <c r="O168" s="1196"/>
      <c r="P168" s="1196"/>
      <c r="Q168" s="1196"/>
      <c r="R168" s="1196"/>
      <c r="S168" s="1196"/>
      <c r="T168" s="1196"/>
      <c r="U168" s="1196"/>
      <c r="V168" s="1196"/>
      <c r="W168" s="1196"/>
      <c r="X168" s="1196"/>
      <c r="Y168" s="1196"/>
      <c r="Z168" s="1196"/>
      <c r="AA168" s="1196"/>
      <c r="AB168" s="1196"/>
      <c r="AC168" s="1197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</row>
    <row r="169" spans="1:84" ht="15" customHeight="1" x14ac:dyDescent="0.4">
      <c r="A169" s="2"/>
      <c r="B169" s="1137"/>
      <c r="C169" s="1137"/>
      <c r="D169" s="1137"/>
      <c r="E169" s="1137"/>
      <c r="F169" s="1137"/>
      <c r="G169" s="113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</row>
    <row r="170" spans="1:84" ht="15" customHeight="1" thickBot="1" x14ac:dyDescent="0.45">
      <c r="A170" s="2"/>
      <c r="B170" s="1137"/>
      <c r="C170" s="1137"/>
      <c r="D170" s="1137"/>
      <c r="E170" s="1137"/>
      <c r="F170" s="1137"/>
      <c r="G170" s="113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</row>
    <row r="171" spans="1:84" ht="15" customHeight="1" x14ac:dyDescent="0.4">
      <c r="A171" s="2"/>
      <c r="B171" s="1137"/>
      <c r="C171" s="1137"/>
      <c r="D171" s="1137"/>
      <c r="E171" s="1137"/>
      <c r="F171" s="1137"/>
      <c r="G171" s="1138"/>
      <c r="H171" s="2"/>
      <c r="I171" s="2"/>
      <c r="J171" s="1198" t="s">
        <v>78</v>
      </c>
      <c r="K171" s="1199"/>
      <c r="L171" s="1199"/>
      <c r="M171" s="1199"/>
      <c r="N171" s="1199"/>
      <c r="O171" s="1199"/>
      <c r="P171" s="1199"/>
      <c r="Q171" s="1199"/>
      <c r="R171" s="1199"/>
      <c r="S171" s="1199"/>
      <c r="T171" s="1199"/>
      <c r="U171" s="1199"/>
      <c r="V171" s="1199"/>
      <c r="W171" s="1199"/>
      <c r="X171" s="1199"/>
      <c r="Y171" s="1199"/>
      <c r="Z171" s="1199"/>
      <c r="AA171" s="1199"/>
      <c r="AB171" s="1199"/>
      <c r="AC171" s="1200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</row>
    <row r="172" spans="1:84" ht="15" customHeight="1" x14ac:dyDescent="0.4">
      <c r="A172" s="2"/>
      <c r="B172" s="1137"/>
      <c r="C172" s="1137"/>
      <c r="D172" s="1137"/>
      <c r="E172" s="1137"/>
      <c r="F172" s="1137"/>
      <c r="G172" s="1138"/>
      <c r="H172" s="2"/>
      <c r="I172" s="2"/>
      <c r="J172" s="1201"/>
      <c r="K172" s="1202"/>
      <c r="L172" s="1202"/>
      <c r="M172" s="1202"/>
      <c r="N172" s="1202"/>
      <c r="O172" s="1202"/>
      <c r="P172" s="1202"/>
      <c r="Q172" s="1202"/>
      <c r="R172" s="1202"/>
      <c r="S172" s="1202"/>
      <c r="T172" s="1202"/>
      <c r="U172" s="1202"/>
      <c r="V172" s="1202"/>
      <c r="W172" s="1202"/>
      <c r="X172" s="1202"/>
      <c r="Y172" s="1202"/>
      <c r="Z172" s="1202"/>
      <c r="AA172" s="1202"/>
      <c r="AB172" s="1202"/>
      <c r="AC172" s="1203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</row>
    <row r="173" spans="1:84" ht="15" customHeight="1" x14ac:dyDescent="0.4">
      <c r="A173" s="2"/>
      <c r="B173" s="1137"/>
      <c r="C173" s="1137"/>
      <c r="D173" s="1137"/>
      <c r="E173" s="1137"/>
      <c r="F173" s="1137"/>
      <c r="G173" s="1138"/>
      <c r="H173" s="2"/>
      <c r="I173" s="2"/>
      <c r="J173" s="1165" t="s">
        <v>79</v>
      </c>
      <c r="K173" s="1102"/>
      <c r="L173" s="1102"/>
      <c r="M173" s="1102"/>
      <c r="N173" s="1102"/>
      <c r="O173" s="1102"/>
      <c r="P173" s="1102"/>
      <c r="Q173" s="1102"/>
      <c r="R173" s="1102"/>
      <c r="S173" s="1102"/>
      <c r="T173" s="1102"/>
      <c r="U173" s="1102"/>
      <c r="V173" s="1102"/>
      <c r="W173" s="1102"/>
      <c r="X173" s="1102"/>
      <c r="Y173" s="1102"/>
      <c r="Z173" s="1102"/>
      <c r="AA173" s="1102"/>
      <c r="AB173" s="1102"/>
      <c r="AC173" s="1166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</row>
    <row r="174" spans="1:84" ht="15" customHeight="1" x14ac:dyDescent="0.4">
      <c r="A174" s="2"/>
      <c r="B174" s="1137"/>
      <c r="C174" s="1137"/>
      <c r="D174" s="1137"/>
      <c r="E174" s="1137"/>
      <c r="F174" s="1137"/>
      <c r="G174" s="1138"/>
      <c r="H174" s="2"/>
      <c r="I174" s="2"/>
      <c r="J174" s="1165"/>
      <c r="K174" s="1102"/>
      <c r="L174" s="1102"/>
      <c r="M174" s="1102"/>
      <c r="N174" s="1102"/>
      <c r="O174" s="1102"/>
      <c r="P174" s="1102"/>
      <c r="Q174" s="1102"/>
      <c r="R174" s="1102"/>
      <c r="S174" s="1102"/>
      <c r="T174" s="1102"/>
      <c r="U174" s="1102"/>
      <c r="V174" s="1102"/>
      <c r="W174" s="1102"/>
      <c r="X174" s="1102"/>
      <c r="Y174" s="1102"/>
      <c r="Z174" s="1102"/>
      <c r="AA174" s="1102"/>
      <c r="AB174" s="1102"/>
      <c r="AC174" s="1166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</row>
    <row r="175" spans="1:84" ht="15" customHeight="1" x14ac:dyDescent="0.4">
      <c r="A175" s="2"/>
      <c r="B175" s="1137"/>
      <c r="C175" s="1137"/>
      <c r="D175" s="1137"/>
      <c r="E175" s="1137"/>
      <c r="F175" s="1137"/>
      <c r="G175" s="1138"/>
      <c r="H175" s="2"/>
      <c r="I175" s="2"/>
      <c r="J175" s="1165"/>
      <c r="K175" s="1102"/>
      <c r="L175" s="1102"/>
      <c r="M175" s="1102"/>
      <c r="N175" s="1102"/>
      <c r="O175" s="1102"/>
      <c r="P175" s="1102"/>
      <c r="Q175" s="1102"/>
      <c r="R175" s="1102"/>
      <c r="S175" s="1102"/>
      <c r="T175" s="1102"/>
      <c r="U175" s="1102"/>
      <c r="V175" s="1102"/>
      <c r="W175" s="1102"/>
      <c r="X175" s="1102"/>
      <c r="Y175" s="1102"/>
      <c r="Z175" s="1102"/>
      <c r="AA175" s="1102"/>
      <c r="AB175" s="1102"/>
      <c r="AC175" s="1166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</row>
    <row r="176" spans="1:84" ht="15" customHeight="1" x14ac:dyDescent="0.4">
      <c r="A176" s="2"/>
      <c r="B176" s="1137"/>
      <c r="C176" s="1137"/>
      <c r="D176" s="1137"/>
      <c r="E176" s="1137"/>
      <c r="F176" s="1137"/>
      <c r="G176" s="1138"/>
      <c r="H176" s="2"/>
      <c r="I176" s="2"/>
      <c r="J176" s="1165"/>
      <c r="K176" s="1102"/>
      <c r="L176" s="1102"/>
      <c r="M176" s="1102"/>
      <c r="N176" s="1102"/>
      <c r="O176" s="1102"/>
      <c r="P176" s="1102"/>
      <c r="Q176" s="1102"/>
      <c r="R176" s="1102"/>
      <c r="S176" s="1102"/>
      <c r="T176" s="1102"/>
      <c r="U176" s="1102"/>
      <c r="V176" s="1102"/>
      <c r="W176" s="1102"/>
      <c r="X176" s="1102"/>
      <c r="Y176" s="1102"/>
      <c r="Z176" s="1102"/>
      <c r="AA176" s="1102"/>
      <c r="AB176" s="1102"/>
      <c r="AC176" s="1166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</row>
    <row r="177" spans="1:84" ht="15" customHeight="1" thickBot="1" x14ac:dyDescent="0.45">
      <c r="A177" s="2"/>
      <c r="B177" s="1137"/>
      <c r="C177" s="1137"/>
      <c r="D177" s="1137"/>
      <c r="E177" s="1137"/>
      <c r="F177" s="1137"/>
      <c r="G177" s="1138"/>
      <c r="H177" s="2"/>
      <c r="I177" s="2"/>
      <c r="J177" s="1167"/>
      <c r="K177" s="1168"/>
      <c r="L177" s="1168"/>
      <c r="M177" s="1168"/>
      <c r="N177" s="1168"/>
      <c r="O177" s="1168"/>
      <c r="P177" s="1168"/>
      <c r="Q177" s="1168"/>
      <c r="R177" s="1168"/>
      <c r="S177" s="1168"/>
      <c r="T177" s="1168"/>
      <c r="U177" s="1168"/>
      <c r="V177" s="1168"/>
      <c r="W177" s="1168"/>
      <c r="X177" s="1168"/>
      <c r="Y177" s="1168"/>
      <c r="Z177" s="1168"/>
      <c r="AA177" s="1168"/>
      <c r="AB177" s="1168"/>
      <c r="AC177" s="1169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</row>
    <row r="178" spans="1:84" ht="1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</row>
    <row r="179" spans="1:84" ht="1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</row>
    <row r="180" spans="1:84" ht="1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</row>
    <row r="181" spans="1:84" ht="1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</row>
    <row r="182" spans="1:84" ht="1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</row>
  </sheetData>
  <mergeCells count="65">
    <mergeCell ref="B1:BH2"/>
    <mergeCell ref="B3:CB3"/>
    <mergeCell ref="B5:I6"/>
    <mergeCell ref="K5:R6"/>
    <mergeCell ref="T5:AA6"/>
    <mergeCell ref="AC5:AJ6"/>
    <mergeCell ref="AL5:AS6"/>
    <mergeCell ref="AU5:BB6"/>
    <mergeCell ref="BD5:BK6"/>
    <mergeCell ref="BM5:BT6"/>
    <mergeCell ref="BV5:CC6"/>
    <mergeCell ref="B7:CB7"/>
    <mergeCell ref="B9:G60"/>
    <mergeCell ref="B63:G78"/>
    <mergeCell ref="B81:G105"/>
    <mergeCell ref="J47:AC51"/>
    <mergeCell ref="J54:AC55"/>
    <mergeCell ref="J56:AC60"/>
    <mergeCell ref="J63:AC64"/>
    <mergeCell ref="J90:AC91"/>
    <mergeCell ref="B144:G177"/>
    <mergeCell ref="J9:AC10"/>
    <mergeCell ref="J11:AC15"/>
    <mergeCell ref="J18:AC19"/>
    <mergeCell ref="J20:AC24"/>
    <mergeCell ref="J27:AC28"/>
    <mergeCell ref="J29:AC33"/>
    <mergeCell ref="J36:AC37"/>
    <mergeCell ref="J38:AC42"/>
    <mergeCell ref="J45:AC46"/>
    <mergeCell ref="B108:G141"/>
    <mergeCell ref="J65:AC69"/>
    <mergeCell ref="J72:AC73"/>
    <mergeCell ref="J74:AC78"/>
    <mergeCell ref="J81:AC82"/>
    <mergeCell ref="J83:AC87"/>
    <mergeCell ref="J137:AC141"/>
    <mergeCell ref="J144:AC145"/>
    <mergeCell ref="J92:AC96"/>
    <mergeCell ref="J99:AC100"/>
    <mergeCell ref="J101:AC105"/>
    <mergeCell ref="J108:AC109"/>
    <mergeCell ref="J110:AC114"/>
    <mergeCell ref="J117:AC118"/>
    <mergeCell ref="BF117:BY118"/>
    <mergeCell ref="BF119:BY123"/>
    <mergeCell ref="AH126:BA127"/>
    <mergeCell ref="AH128:BA132"/>
    <mergeCell ref="AH135:BA136"/>
    <mergeCell ref="AH137:BA141"/>
    <mergeCell ref="J173:AC177"/>
    <mergeCell ref="AH90:BA91"/>
    <mergeCell ref="AH92:BA96"/>
    <mergeCell ref="AH117:BA118"/>
    <mergeCell ref="AH119:BA123"/>
    <mergeCell ref="J146:AC150"/>
    <mergeCell ref="J153:AC154"/>
    <mergeCell ref="J155:AC159"/>
    <mergeCell ref="J162:AC163"/>
    <mergeCell ref="J164:AC168"/>
    <mergeCell ref="J171:AC172"/>
    <mergeCell ref="J119:AC123"/>
    <mergeCell ref="J126:AC127"/>
    <mergeCell ref="J128:AC132"/>
    <mergeCell ref="J135:AC136"/>
  </mergeCells>
  <phoneticPr fontId="2"/>
  <pageMargins left="0.7" right="0.7" top="0.75" bottom="0.75" header="0.3" footer="0.3"/>
  <pageSetup paperSize="9" scale="3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7820-6E75-4A06-B12F-5B7371E0679C}">
  <dimension ref="A1:L36"/>
  <sheetViews>
    <sheetView zoomScale="90" zoomScaleNormal="90" workbookViewId="0">
      <pane xSplit="4" ySplit="2" topLeftCell="E3" activePane="bottomRight" state="frozenSplit"/>
      <selection pane="topRight" activeCell="E1" sqref="E1"/>
      <selection pane="bottomLeft" activeCell="A3" sqref="A3"/>
      <selection pane="bottomRight" activeCell="A3" sqref="A3"/>
    </sheetView>
  </sheetViews>
  <sheetFormatPr defaultRowHeight="18.75" x14ac:dyDescent="0.4"/>
  <cols>
    <col min="1" max="1" width="6.625" style="4" customWidth="1"/>
    <col min="2" max="2" width="5.625" style="4" customWidth="1"/>
    <col min="3" max="3" width="12.625" customWidth="1"/>
    <col min="4" max="4" width="24.625" customWidth="1"/>
    <col min="5" max="5" width="36.625" customWidth="1"/>
    <col min="6" max="6" width="34.625" customWidth="1"/>
    <col min="7" max="7" width="24.625" customWidth="1"/>
    <col min="8" max="8" width="38.625" customWidth="1"/>
    <col min="9" max="9" width="22.625" customWidth="1"/>
    <col min="10" max="10" width="24.625" customWidth="1"/>
    <col min="11" max="11" width="7.625" customWidth="1"/>
    <col min="12" max="12" width="36.625" customWidth="1"/>
  </cols>
  <sheetData>
    <row r="1" spans="1:12" ht="20.25" x14ac:dyDescent="0.4">
      <c r="A1" s="3" t="s">
        <v>101</v>
      </c>
    </row>
    <row r="2" spans="1:12" x14ac:dyDescent="0.4">
      <c r="A2" s="5" t="s">
        <v>90</v>
      </c>
      <c r="B2" s="5" t="s">
        <v>91</v>
      </c>
      <c r="C2" s="6" t="s">
        <v>92</v>
      </c>
      <c r="D2" s="6" t="s">
        <v>93</v>
      </c>
      <c r="E2" s="6" t="s">
        <v>94</v>
      </c>
      <c r="F2" s="6" t="s">
        <v>95</v>
      </c>
      <c r="G2" s="6" t="s">
        <v>96</v>
      </c>
      <c r="H2" s="6" t="s">
        <v>97</v>
      </c>
      <c r="I2" s="6" t="s">
        <v>3</v>
      </c>
      <c r="J2" s="6" t="s">
        <v>98</v>
      </c>
      <c r="K2" s="6" t="s">
        <v>99</v>
      </c>
      <c r="L2" s="6" t="s">
        <v>100</v>
      </c>
    </row>
    <row r="3" spans="1:12" ht="24" x14ac:dyDescent="0.4">
      <c r="A3" s="7" t="s">
        <v>102</v>
      </c>
      <c r="B3" s="7" t="s">
        <v>103</v>
      </c>
      <c r="C3" s="9" t="s">
        <v>2</v>
      </c>
      <c r="D3" s="8" t="s">
        <v>104</v>
      </c>
      <c r="E3" s="8" t="s">
        <v>105</v>
      </c>
      <c r="F3" s="8" t="s">
        <v>106</v>
      </c>
      <c r="G3" s="8"/>
      <c r="H3" s="8" t="s">
        <v>107</v>
      </c>
      <c r="I3" s="8"/>
      <c r="J3" s="8"/>
      <c r="K3" s="28">
        <v>1</v>
      </c>
      <c r="L3" s="8" t="s">
        <v>108</v>
      </c>
    </row>
    <row r="4" spans="1:12" ht="24" x14ac:dyDescent="0.4">
      <c r="A4" s="7" t="s">
        <v>109</v>
      </c>
      <c r="B4" s="7" t="s">
        <v>103</v>
      </c>
      <c r="C4" s="10" t="s">
        <v>3</v>
      </c>
      <c r="D4" s="8" t="s">
        <v>110</v>
      </c>
      <c r="E4" s="8" t="s">
        <v>111</v>
      </c>
      <c r="F4" s="8" t="s">
        <v>112</v>
      </c>
      <c r="G4" s="8" t="s">
        <v>113</v>
      </c>
      <c r="H4" s="8"/>
      <c r="I4" s="8" t="s">
        <v>114</v>
      </c>
      <c r="J4" s="8"/>
      <c r="K4" s="28">
        <v>2</v>
      </c>
      <c r="L4" s="8" t="s">
        <v>115</v>
      </c>
    </row>
    <row r="5" spans="1:12" ht="24" x14ac:dyDescent="0.4">
      <c r="A5" s="7" t="s">
        <v>116</v>
      </c>
      <c r="B5" s="7" t="s">
        <v>103</v>
      </c>
      <c r="C5" s="10" t="s">
        <v>3</v>
      </c>
      <c r="D5" s="8" t="s">
        <v>117</v>
      </c>
      <c r="E5" s="8" t="s">
        <v>118</v>
      </c>
      <c r="F5" s="8" t="s">
        <v>119</v>
      </c>
      <c r="G5" s="8" t="s">
        <v>120</v>
      </c>
      <c r="H5" s="8"/>
      <c r="I5" s="8" t="s">
        <v>121</v>
      </c>
      <c r="J5" s="8"/>
      <c r="K5" s="28">
        <v>3</v>
      </c>
      <c r="L5" s="8" t="s">
        <v>122</v>
      </c>
    </row>
    <row r="6" spans="1:12" ht="24" x14ac:dyDescent="0.4">
      <c r="A6" s="7" t="s">
        <v>123</v>
      </c>
      <c r="B6" s="7" t="s">
        <v>103</v>
      </c>
      <c r="C6" s="9" t="s">
        <v>2</v>
      </c>
      <c r="D6" s="8" t="s">
        <v>124</v>
      </c>
      <c r="E6" s="8" t="s">
        <v>125</v>
      </c>
      <c r="F6" s="8"/>
      <c r="G6" s="8"/>
      <c r="H6" s="8" t="s">
        <v>126</v>
      </c>
      <c r="I6" s="8"/>
      <c r="J6" s="8"/>
      <c r="K6" s="28">
        <v>2</v>
      </c>
      <c r="L6" s="8" t="s">
        <v>127</v>
      </c>
    </row>
    <row r="7" spans="1:12" x14ac:dyDescent="0.4">
      <c r="A7" s="7" t="s">
        <v>128</v>
      </c>
      <c r="B7" s="7" t="s">
        <v>103</v>
      </c>
      <c r="C7" s="9" t="s">
        <v>2</v>
      </c>
      <c r="D7" s="8" t="s">
        <v>129</v>
      </c>
      <c r="E7" s="8" t="s">
        <v>130</v>
      </c>
      <c r="F7" s="8" t="s">
        <v>131</v>
      </c>
      <c r="G7" s="8"/>
      <c r="H7" s="8" t="s">
        <v>132</v>
      </c>
      <c r="I7" s="8"/>
      <c r="J7" s="8"/>
      <c r="K7" s="28">
        <v>1</v>
      </c>
      <c r="L7" s="8" t="s">
        <v>133</v>
      </c>
    </row>
    <row r="8" spans="1:12" ht="24" x14ac:dyDescent="0.4">
      <c r="A8" s="7" t="s">
        <v>134</v>
      </c>
      <c r="B8" s="7" t="s">
        <v>103</v>
      </c>
      <c r="C8" s="9" t="s">
        <v>2</v>
      </c>
      <c r="D8" s="8" t="s">
        <v>135</v>
      </c>
      <c r="E8" s="8" t="s">
        <v>136</v>
      </c>
      <c r="F8" s="8"/>
      <c r="G8" s="8"/>
      <c r="H8" s="8" t="s">
        <v>137</v>
      </c>
      <c r="I8" s="8"/>
      <c r="J8" s="8"/>
      <c r="K8" s="28">
        <v>1</v>
      </c>
      <c r="L8" s="8" t="s">
        <v>138</v>
      </c>
    </row>
    <row r="9" spans="1:12" x14ac:dyDescent="0.4">
      <c r="A9" s="7" t="s">
        <v>139</v>
      </c>
      <c r="B9" s="7" t="s">
        <v>103</v>
      </c>
      <c r="C9" s="11" t="s">
        <v>6</v>
      </c>
      <c r="D9" s="8" t="s">
        <v>140</v>
      </c>
      <c r="E9" s="8" t="s">
        <v>141</v>
      </c>
      <c r="F9" s="8" t="s">
        <v>142</v>
      </c>
      <c r="G9" s="8"/>
      <c r="H9" s="8"/>
      <c r="I9" s="8" t="s">
        <v>143</v>
      </c>
      <c r="J9" s="8"/>
      <c r="K9" s="28">
        <v>1</v>
      </c>
      <c r="L9" s="8" t="s">
        <v>144</v>
      </c>
    </row>
    <row r="10" spans="1:12" ht="24" x14ac:dyDescent="0.4">
      <c r="A10" s="7" t="s">
        <v>145</v>
      </c>
      <c r="B10" s="7" t="s">
        <v>103</v>
      </c>
      <c r="C10" s="12" t="s">
        <v>7</v>
      </c>
      <c r="D10" s="8" t="s">
        <v>146</v>
      </c>
      <c r="E10" s="8" t="s">
        <v>147</v>
      </c>
      <c r="F10" s="8" t="s">
        <v>148</v>
      </c>
      <c r="G10" s="8" t="s">
        <v>149</v>
      </c>
      <c r="H10" s="8"/>
      <c r="I10" s="8" t="s">
        <v>150</v>
      </c>
      <c r="J10" s="8"/>
      <c r="K10" s="28">
        <v>2</v>
      </c>
      <c r="L10" s="8" t="s">
        <v>151</v>
      </c>
    </row>
    <row r="11" spans="1:12" ht="24" x14ac:dyDescent="0.4">
      <c r="A11" s="7" t="s">
        <v>152</v>
      </c>
      <c r="B11" s="7" t="s">
        <v>103</v>
      </c>
      <c r="C11" s="9" t="s">
        <v>2</v>
      </c>
      <c r="D11" s="8" t="s">
        <v>153</v>
      </c>
      <c r="E11" s="8" t="s">
        <v>154</v>
      </c>
      <c r="F11" s="8"/>
      <c r="G11" s="8"/>
      <c r="H11" s="8" t="s">
        <v>155</v>
      </c>
      <c r="I11" s="8"/>
      <c r="J11" s="8"/>
      <c r="K11" s="28">
        <v>1</v>
      </c>
      <c r="L11" s="8" t="s">
        <v>156</v>
      </c>
    </row>
    <row r="12" spans="1:12" ht="24.75" thickBot="1" x14ac:dyDescent="0.45">
      <c r="A12" s="13" t="s">
        <v>157</v>
      </c>
      <c r="B12" s="13" t="s">
        <v>103</v>
      </c>
      <c r="C12" s="14" t="s">
        <v>2</v>
      </c>
      <c r="D12" s="15" t="s">
        <v>158</v>
      </c>
      <c r="E12" s="15" t="s">
        <v>159</v>
      </c>
      <c r="F12" s="15"/>
      <c r="G12" s="15"/>
      <c r="H12" s="15" t="s">
        <v>160</v>
      </c>
      <c r="I12" s="15"/>
      <c r="J12" s="15"/>
      <c r="K12" s="29">
        <v>3</v>
      </c>
      <c r="L12" s="15" t="s">
        <v>161</v>
      </c>
    </row>
    <row r="13" spans="1:12" ht="24" x14ac:dyDescent="0.4">
      <c r="A13" s="18" t="s">
        <v>162</v>
      </c>
      <c r="B13" s="18" t="s">
        <v>163</v>
      </c>
      <c r="C13" s="19" t="s">
        <v>2</v>
      </c>
      <c r="D13" s="20" t="s">
        <v>164</v>
      </c>
      <c r="E13" s="20" t="s">
        <v>165</v>
      </c>
      <c r="F13" s="20" t="s">
        <v>166</v>
      </c>
      <c r="G13" s="20"/>
      <c r="H13" s="20" t="s">
        <v>167</v>
      </c>
      <c r="I13" s="20"/>
      <c r="J13" s="20" t="s">
        <v>168</v>
      </c>
      <c r="K13" s="30">
        <v>1</v>
      </c>
      <c r="L13" s="20" t="s">
        <v>169</v>
      </c>
    </row>
    <row r="14" spans="1:12" x14ac:dyDescent="0.4">
      <c r="A14" s="16" t="s">
        <v>170</v>
      </c>
      <c r="B14" s="16" t="s">
        <v>163</v>
      </c>
      <c r="C14" s="21" t="s">
        <v>10</v>
      </c>
      <c r="D14" s="17" t="s">
        <v>171</v>
      </c>
      <c r="E14" s="17" t="s">
        <v>172</v>
      </c>
      <c r="F14" s="17" t="s">
        <v>173</v>
      </c>
      <c r="G14" s="17"/>
      <c r="H14" s="17"/>
      <c r="I14" s="17"/>
      <c r="J14" s="17" t="s">
        <v>174</v>
      </c>
      <c r="K14" s="31">
        <v>1</v>
      </c>
      <c r="L14" s="17"/>
    </row>
    <row r="15" spans="1:12" x14ac:dyDescent="0.4">
      <c r="A15" s="7" t="s">
        <v>175</v>
      </c>
      <c r="B15" s="7" t="s">
        <v>163</v>
      </c>
      <c r="C15" s="11" t="s">
        <v>6</v>
      </c>
      <c r="D15" s="8" t="s">
        <v>176</v>
      </c>
      <c r="E15" s="8" t="s">
        <v>177</v>
      </c>
      <c r="F15" s="8" t="s">
        <v>178</v>
      </c>
      <c r="G15" s="8"/>
      <c r="H15" s="8"/>
      <c r="I15" s="8"/>
      <c r="J15" s="8" t="s">
        <v>179</v>
      </c>
      <c r="K15" s="28">
        <v>1</v>
      </c>
      <c r="L15" s="8" t="s">
        <v>180</v>
      </c>
    </row>
    <row r="16" spans="1:12" x14ac:dyDescent="0.4">
      <c r="A16" s="7" t="s">
        <v>181</v>
      </c>
      <c r="B16" s="7" t="s">
        <v>163</v>
      </c>
      <c r="C16" s="22" t="s">
        <v>8</v>
      </c>
      <c r="D16" s="8" t="s">
        <v>182</v>
      </c>
      <c r="E16" s="8" t="s">
        <v>183</v>
      </c>
      <c r="F16" s="8" t="s">
        <v>184</v>
      </c>
      <c r="G16" s="8"/>
      <c r="H16" s="8"/>
      <c r="I16" s="8" t="s">
        <v>185</v>
      </c>
      <c r="J16" s="8"/>
      <c r="K16" s="28">
        <v>1</v>
      </c>
      <c r="L16" s="8" t="s">
        <v>186</v>
      </c>
    </row>
    <row r="17" spans="1:12" ht="24" x14ac:dyDescent="0.4">
      <c r="A17" s="7" t="s">
        <v>187</v>
      </c>
      <c r="B17" s="7" t="s">
        <v>163</v>
      </c>
      <c r="C17" s="23" t="s">
        <v>4</v>
      </c>
      <c r="D17" s="8" t="s">
        <v>188</v>
      </c>
      <c r="E17" s="8" t="s">
        <v>189</v>
      </c>
      <c r="F17" s="8" t="s">
        <v>190</v>
      </c>
      <c r="G17" s="8" t="s">
        <v>191</v>
      </c>
      <c r="H17" s="8"/>
      <c r="I17" s="8"/>
      <c r="J17" s="8"/>
      <c r="K17" s="28">
        <v>3</v>
      </c>
      <c r="L17" s="8" t="s">
        <v>192</v>
      </c>
    </row>
    <row r="18" spans="1:12" x14ac:dyDescent="0.4">
      <c r="A18" s="7" t="s">
        <v>193</v>
      </c>
      <c r="B18" s="7" t="s">
        <v>163</v>
      </c>
      <c r="C18" s="24" t="s">
        <v>9</v>
      </c>
      <c r="D18" s="8" t="s">
        <v>194</v>
      </c>
      <c r="E18" s="8" t="s">
        <v>195</v>
      </c>
      <c r="F18" s="8" t="s">
        <v>196</v>
      </c>
      <c r="G18" s="8"/>
      <c r="H18" s="8" t="s">
        <v>197</v>
      </c>
      <c r="I18" s="8"/>
      <c r="J18" s="8"/>
      <c r="K18" s="28">
        <v>2</v>
      </c>
      <c r="L18" s="8" t="s">
        <v>198</v>
      </c>
    </row>
    <row r="19" spans="1:12" x14ac:dyDescent="0.4">
      <c r="A19" s="7" t="s">
        <v>199</v>
      </c>
      <c r="B19" s="7" t="s">
        <v>163</v>
      </c>
      <c r="C19" s="23" t="s">
        <v>4</v>
      </c>
      <c r="D19" s="8" t="s">
        <v>200</v>
      </c>
      <c r="E19" s="8" t="s">
        <v>201</v>
      </c>
      <c r="F19" s="8" t="s">
        <v>202</v>
      </c>
      <c r="G19" s="8" t="s">
        <v>203</v>
      </c>
      <c r="H19" s="8"/>
      <c r="I19" s="8"/>
      <c r="J19" s="8" t="s">
        <v>204</v>
      </c>
      <c r="K19" s="28">
        <v>3</v>
      </c>
      <c r="L19" s="8" t="s">
        <v>205</v>
      </c>
    </row>
    <row r="20" spans="1:12" ht="24" x14ac:dyDescent="0.4">
      <c r="A20" s="7" t="s">
        <v>206</v>
      </c>
      <c r="B20" s="7" t="s">
        <v>163</v>
      </c>
      <c r="C20" s="10" t="s">
        <v>3</v>
      </c>
      <c r="D20" s="8" t="s">
        <v>207</v>
      </c>
      <c r="E20" s="8" t="s">
        <v>208</v>
      </c>
      <c r="F20" s="8" t="s">
        <v>209</v>
      </c>
      <c r="G20" s="8"/>
      <c r="H20" s="8" t="s">
        <v>210</v>
      </c>
      <c r="I20" s="8" t="s">
        <v>211</v>
      </c>
      <c r="J20" s="8" t="s">
        <v>212</v>
      </c>
      <c r="K20" s="28">
        <v>1</v>
      </c>
      <c r="L20" s="8" t="s">
        <v>213</v>
      </c>
    </row>
    <row r="21" spans="1:12" ht="24" x14ac:dyDescent="0.4">
      <c r="A21" s="7" t="s">
        <v>214</v>
      </c>
      <c r="B21" s="7" t="s">
        <v>163</v>
      </c>
      <c r="C21" s="9" t="s">
        <v>2</v>
      </c>
      <c r="D21" s="8" t="s">
        <v>215</v>
      </c>
      <c r="E21" s="8" t="s">
        <v>216</v>
      </c>
      <c r="F21" s="8"/>
      <c r="G21" s="8"/>
      <c r="H21" s="8" t="s">
        <v>217</v>
      </c>
      <c r="I21" s="8"/>
      <c r="J21" s="8" t="s">
        <v>218</v>
      </c>
      <c r="K21" s="28">
        <v>2</v>
      </c>
      <c r="L21" s="8" t="s">
        <v>219</v>
      </c>
    </row>
    <row r="22" spans="1:12" ht="24" x14ac:dyDescent="0.4">
      <c r="A22" s="7" t="s">
        <v>220</v>
      </c>
      <c r="B22" s="7" t="s">
        <v>163</v>
      </c>
      <c r="C22" s="11" t="s">
        <v>6</v>
      </c>
      <c r="D22" s="8" t="s">
        <v>221</v>
      </c>
      <c r="E22" s="8" t="s">
        <v>222</v>
      </c>
      <c r="F22" s="8" t="s">
        <v>223</v>
      </c>
      <c r="G22" s="8"/>
      <c r="H22" s="8" t="s">
        <v>224</v>
      </c>
      <c r="I22" s="8"/>
      <c r="J22" s="8"/>
      <c r="K22" s="28">
        <v>1</v>
      </c>
      <c r="L22" s="8" t="s">
        <v>225</v>
      </c>
    </row>
    <row r="23" spans="1:12" x14ac:dyDescent="0.4">
      <c r="A23" s="26" t="s">
        <v>226</v>
      </c>
      <c r="B23" s="26" t="s">
        <v>163</v>
      </c>
      <c r="C23" s="25" t="s">
        <v>10</v>
      </c>
      <c r="D23" s="8" t="s">
        <v>227</v>
      </c>
      <c r="E23" s="8" t="s">
        <v>228</v>
      </c>
      <c r="F23" s="8" t="s">
        <v>229</v>
      </c>
      <c r="G23" s="8" t="s">
        <v>230</v>
      </c>
      <c r="H23" s="8"/>
      <c r="I23" s="8"/>
      <c r="J23" s="8" t="s">
        <v>231</v>
      </c>
      <c r="K23" s="28">
        <v>3</v>
      </c>
      <c r="L23" s="8" t="s">
        <v>232</v>
      </c>
    </row>
    <row r="24" spans="1:12" ht="24" x14ac:dyDescent="0.4">
      <c r="A24" s="7" t="s">
        <v>233</v>
      </c>
      <c r="B24" s="7" t="s">
        <v>163</v>
      </c>
      <c r="C24" s="23" t="s">
        <v>4</v>
      </c>
      <c r="D24" s="8" t="s">
        <v>234</v>
      </c>
      <c r="E24" s="8" t="s">
        <v>235</v>
      </c>
      <c r="F24" s="8" t="s">
        <v>236</v>
      </c>
      <c r="G24" s="8" t="s">
        <v>237</v>
      </c>
      <c r="H24" s="8"/>
      <c r="I24" s="8"/>
      <c r="J24" s="8"/>
      <c r="K24" s="28">
        <v>4</v>
      </c>
      <c r="L24" s="8" t="s">
        <v>238</v>
      </c>
    </row>
    <row r="25" spans="1:12" ht="24" x14ac:dyDescent="0.4">
      <c r="A25" s="7" t="s">
        <v>239</v>
      </c>
      <c r="B25" s="7" t="s">
        <v>163</v>
      </c>
      <c r="C25" s="22" t="s">
        <v>8</v>
      </c>
      <c r="D25" s="8" t="s">
        <v>240</v>
      </c>
      <c r="E25" s="8" t="s">
        <v>241</v>
      </c>
      <c r="F25" s="8" t="s">
        <v>242</v>
      </c>
      <c r="G25" s="8"/>
      <c r="H25" s="8"/>
      <c r="I25" s="8" t="s">
        <v>243</v>
      </c>
      <c r="J25" s="8"/>
      <c r="K25" s="28">
        <v>1</v>
      </c>
      <c r="L25" s="8" t="s">
        <v>244</v>
      </c>
    </row>
    <row r="26" spans="1:12" ht="24" x14ac:dyDescent="0.4">
      <c r="A26" s="7" t="s">
        <v>245</v>
      </c>
      <c r="B26" s="7" t="s">
        <v>163</v>
      </c>
      <c r="C26" s="10" t="s">
        <v>3</v>
      </c>
      <c r="D26" s="8" t="s">
        <v>246</v>
      </c>
      <c r="E26" s="8" t="s">
        <v>247</v>
      </c>
      <c r="F26" s="8" t="s">
        <v>248</v>
      </c>
      <c r="G26" s="8"/>
      <c r="H26" s="8"/>
      <c r="I26" s="8" t="s">
        <v>249</v>
      </c>
      <c r="J26" s="8"/>
      <c r="K26" s="28">
        <v>1</v>
      </c>
      <c r="L26" s="8" t="s">
        <v>250</v>
      </c>
    </row>
    <row r="27" spans="1:12" ht="24" x14ac:dyDescent="0.4">
      <c r="A27" s="26" t="s">
        <v>251</v>
      </c>
      <c r="B27" s="26" t="s">
        <v>163</v>
      </c>
      <c r="C27" s="25" t="s">
        <v>10</v>
      </c>
      <c r="D27" s="8" t="s">
        <v>252</v>
      </c>
      <c r="E27" s="8" t="s">
        <v>253</v>
      </c>
      <c r="F27" s="8" t="s">
        <v>254</v>
      </c>
      <c r="G27" s="8" t="s">
        <v>255</v>
      </c>
      <c r="H27" s="8"/>
      <c r="I27" s="8"/>
      <c r="J27" s="8" t="s">
        <v>256</v>
      </c>
      <c r="K27" s="28">
        <v>4</v>
      </c>
      <c r="L27" s="8" t="s">
        <v>257</v>
      </c>
    </row>
    <row r="28" spans="1:12" x14ac:dyDescent="0.4">
      <c r="A28" s="26" t="s">
        <v>258</v>
      </c>
      <c r="B28" s="26" t="s">
        <v>163</v>
      </c>
      <c r="C28" s="25" t="s">
        <v>10</v>
      </c>
      <c r="D28" s="8" t="s">
        <v>259</v>
      </c>
      <c r="E28" s="8" t="s">
        <v>260</v>
      </c>
      <c r="F28" s="8" t="s">
        <v>261</v>
      </c>
      <c r="G28" s="8"/>
      <c r="H28" s="8"/>
      <c r="I28" s="8"/>
      <c r="J28" s="8" t="s">
        <v>262</v>
      </c>
      <c r="K28" s="28">
        <v>1</v>
      </c>
      <c r="L28" s="8"/>
    </row>
    <row r="29" spans="1:12" x14ac:dyDescent="0.4">
      <c r="A29" s="7" t="s">
        <v>263</v>
      </c>
      <c r="B29" s="7" t="s">
        <v>163</v>
      </c>
      <c r="C29" s="23" t="s">
        <v>4</v>
      </c>
      <c r="D29" s="8" t="s">
        <v>264</v>
      </c>
      <c r="E29" s="8" t="s">
        <v>265</v>
      </c>
      <c r="F29" s="8" t="s">
        <v>266</v>
      </c>
      <c r="G29" s="8" t="s">
        <v>267</v>
      </c>
      <c r="H29" s="8"/>
      <c r="I29" s="8"/>
      <c r="J29" s="8"/>
      <c r="K29" s="28">
        <v>3</v>
      </c>
      <c r="L29" s="8" t="s">
        <v>268</v>
      </c>
    </row>
    <row r="30" spans="1:12" x14ac:dyDescent="0.4">
      <c r="A30" s="26" t="s">
        <v>269</v>
      </c>
      <c r="B30" s="26" t="s">
        <v>163</v>
      </c>
      <c r="C30" s="25" t="s">
        <v>10</v>
      </c>
      <c r="D30" s="8" t="s">
        <v>270</v>
      </c>
      <c r="E30" s="8" t="s">
        <v>271</v>
      </c>
      <c r="F30" s="8" t="s">
        <v>272</v>
      </c>
      <c r="G30" s="8"/>
      <c r="H30" s="8"/>
      <c r="I30" s="8"/>
      <c r="J30" s="8" t="s">
        <v>273</v>
      </c>
      <c r="K30" s="28">
        <v>1</v>
      </c>
      <c r="L30" s="8"/>
    </row>
    <row r="31" spans="1:12" x14ac:dyDescent="0.4">
      <c r="A31" s="26" t="s">
        <v>274</v>
      </c>
      <c r="B31" s="26" t="s">
        <v>163</v>
      </c>
      <c r="C31" s="25" t="s">
        <v>10</v>
      </c>
      <c r="D31" s="8" t="s">
        <v>275</v>
      </c>
      <c r="E31" s="8" t="s">
        <v>276</v>
      </c>
      <c r="F31" s="8" t="s">
        <v>277</v>
      </c>
      <c r="G31" s="8"/>
      <c r="H31" s="8"/>
      <c r="I31" s="8"/>
      <c r="J31" s="8" t="s">
        <v>278</v>
      </c>
      <c r="K31" s="28">
        <v>1</v>
      </c>
      <c r="L31" s="8"/>
    </row>
    <row r="32" spans="1:12" x14ac:dyDescent="0.4">
      <c r="A32" s="7" t="s">
        <v>279</v>
      </c>
      <c r="B32" s="7" t="s">
        <v>163</v>
      </c>
      <c r="C32" s="10" t="s">
        <v>3</v>
      </c>
      <c r="D32" s="8" t="s">
        <v>280</v>
      </c>
      <c r="E32" s="8" t="s">
        <v>281</v>
      </c>
      <c r="F32" s="8" t="s">
        <v>282</v>
      </c>
      <c r="G32" s="8" t="s">
        <v>203</v>
      </c>
      <c r="H32" s="8"/>
      <c r="I32" s="8" t="s">
        <v>283</v>
      </c>
      <c r="J32" s="8"/>
      <c r="K32" s="28">
        <v>4</v>
      </c>
      <c r="L32" s="8" t="s">
        <v>284</v>
      </c>
    </row>
    <row r="33" spans="1:12" x14ac:dyDescent="0.4">
      <c r="A33" s="7" t="s">
        <v>285</v>
      </c>
      <c r="B33" s="7" t="s">
        <v>163</v>
      </c>
      <c r="C33" s="10" t="s">
        <v>3</v>
      </c>
      <c r="D33" s="8" t="s">
        <v>286</v>
      </c>
      <c r="E33" s="8" t="s">
        <v>287</v>
      </c>
      <c r="F33" s="8" t="s">
        <v>288</v>
      </c>
      <c r="G33" s="8"/>
      <c r="H33" s="8" t="s">
        <v>210</v>
      </c>
      <c r="I33" s="8" t="s">
        <v>289</v>
      </c>
      <c r="J33" s="8"/>
      <c r="K33" s="28">
        <v>1</v>
      </c>
      <c r="L33" s="8"/>
    </row>
    <row r="34" spans="1:12" x14ac:dyDescent="0.4">
      <c r="A34" s="7" t="s">
        <v>290</v>
      </c>
      <c r="B34" s="7" t="s">
        <v>163</v>
      </c>
      <c r="C34" s="23" t="s">
        <v>4</v>
      </c>
      <c r="D34" s="8" t="s">
        <v>291</v>
      </c>
      <c r="E34" s="8" t="s">
        <v>292</v>
      </c>
      <c r="F34" s="8" t="s">
        <v>293</v>
      </c>
      <c r="G34" s="8" t="s">
        <v>203</v>
      </c>
      <c r="H34" s="8"/>
      <c r="I34" s="8"/>
      <c r="J34" s="8"/>
      <c r="K34" s="28">
        <v>3</v>
      </c>
      <c r="L34" s="8" t="s">
        <v>294</v>
      </c>
    </row>
    <row r="35" spans="1:12" ht="24" x14ac:dyDescent="0.4">
      <c r="A35" s="7" t="s">
        <v>295</v>
      </c>
      <c r="B35" s="7" t="s">
        <v>163</v>
      </c>
      <c r="C35" s="27" t="s">
        <v>5</v>
      </c>
      <c r="D35" s="8" t="s">
        <v>296</v>
      </c>
      <c r="E35" s="8" t="s">
        <v>297</v>
      </c>
      <c r="F35" s="8" t="s">
        <v>298</v>
      </c>
      <c r="G35" s="8" t="s">
        <v>299</v>
      </c>
      <c r="H35" s="8" t="s">
        <v>300</v>
      </c>
      <c r="I35" s="8" t="s">
        <v>301</v>
      </c>
      <c r="J35" s="8"/>
      <c r="K35" s="28">
        <v>5</v>
      </c>
      <c r="L35" s="8" t="s">
        <v>302</v>
      </c>
    </row>
    <row r="36" spans="1:12" x14ac:dyDescent="0.4">
      <c r="A36" s="7" t="s">
        <v>303</v>
      </c>
      <c r="B36" s="7" t="s">
        <v>163</v>
      </c>
      <c r="C36" s="24" t="s">
        <v>9</v>
      </c>
      <c r="D36" s="8" t="s">
        <v>304</v>
      </c>
      <c r="E36" s="8" t="s">
        <v>305</v>
      </c>
      <c r="F36" s="8" t="s">
        <v>306</v>
      </c>
      <c r="G36" s="8"/>
      <c r="H36" s="8" t="s">
        <v>307</v>
      </c>
      <c r="I36" s="8"/>
      <c r="J36" s="8"/>
      <c r="K36" s="28">
        <v>1</v>
      </c>
      <c r="L36" s="8" t="s">
        <v>308</v>
      </c>
    </row>
  </sheetData>
  <autoFilter ref="A2:L36" xr:uid="{C2D07820-6E75-4A06-B12F-5B7371E0679C}"/>
  <phoneticPr fontId="2"/>
  <conditionalFormatting sqref="K3:K36">
    <cfRule type="colorScale" priority="1">
      <colorScale>
        <cfvo type="min"/>
        <cfvo type="percentile" val="50"/>
        <cfvo type="max"/>
        <color rgb="FFDFF3E4"/>
        <color rgb="FFFFE8A3"/>
        <color rgb="FFF28B82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DD3A-9296-4DC8-9311-3B9EAC7AAAD9}">
  <dimension ref="A1:E18"/>
  <sheetViews>
    <sheetView showGridLines="0" tabSelected="1" workbookViewId="0">
      <selection activeCell="D10" sqref="D10"/>
    </sheetView>
  </sheetViews>
  <sheetFormatPr defaultRowHeight="15.75" x14ac:dyDescent="0.4"/>
  <cols>
    <col min="1" max="1" width="22.625" style="1" customWidth="1"/>
    <col min="2" max="2" width="12.625" style="1" customWidth="1"/>
    <col min="3" max="3" width="14.625" style="1" customWidth="1"/>
    <col min="4" max="5" width="50.625" style="1" customWidth="1"/>
    <col min="6" max="16384" width="9" style="1"/>
  </cols>
  <sheetData>
    <row r="1" spans="1:5" ht="18" x14ac:dyDescent="0.4">
      <c r="A1" s="32" t="s">
        <v>309</v>
      </c>
    </row>
    <row r="3" spans="1:5" x14ac:dyDescent="0.4">
      <c r="A3" s="34" t="s">
        <v>310</v>
      </c>
      <c r="B3" s="34" t="s">
        <v>311</v>
      </c>
      <c r="C3" s="34" t="s">
        <v>312</v>
      </c>
      <c r="D3" s="34" t="s">
        <v>313</v>
      </c>
      <c r="E3" s="34" t="s">
        <v>314</v>
      </c>
    </row>
    <row r="4" spans="1:5" ht="28.5" x14ac:dyDescent="0.4">
      <c r="A4" s="33" t="s">
        <v>203</v>
      </c>
      <c r="B4" s="33" t="s">
        <v>315</v>
      </c>
      <c r="C4" s="33" t="s">
        <v>316</v>
      </c>
      <c r="D4" s="33" t="s">
        <v>317</v>
      </c>
      <c r="E4" s="33" t="s">
        <v>318</v>
      </c>
    </row>
    <row r="5" spans="1:5" ht="28.5" x14ac:dyDescent="0.4">
      <c r="A5" s="33" t="s">
        <v>319</v>
      </c>
      <c r="B5" s="33" t="s">
        <v>320</v>
      </c>
      <c r="C5" s="33" t="s">
        <v>316</v>
      </c>
      <c r="D5" s="33" t="s">
        <v>321</v>
      </c>
      <c r="E5" s="33" t="s">
        <v>322</v>
      </c>
    </row>
    <row r="6" spans="1:5" x14ac:dyDescent="0.4">
      <c r="A6" s="33" t="s">
        <v>323</v>
      </c>
      <c r="B6" s="33" t="s">
        <v>324</v>
      </c>
      <c r="C6" s="33" t="s">
        <v>325</v>
      </c>
      <c r="D6" s="33" t="s">
        <v>326</v>
      </c>
      <c r="E6" s="33" t="s">
        <v>327</v>
      </c>
    </row>
    <row r="7" spans="1:5" ht="28.5" x14ac:dyDescent="0.4">
      <c r="A7" s="35" t="s">
        <v>328</v>
      </c>
      <c r="B7" s="35" t="s">
        <v>5</v>
      </c>
      <c r="C7" s="35" t="s">
        <v>329</v>
      </c>
      <c r="D7" s="35" t="s">
        <v>330</v>
      </c>
      <c r="E7" s="35" t="s">
        <v>331</v>
      </c>
    </row>
    <row r="8" spans="1:5" ht="28.5" x14ac:dyDescent="0.4">
      <c r="A8" s="33" t="s">
        <v>332</v>
      </c>
      <c r="B8" s="33" t="s">
        <v>2</v>
      </c>
      <c r="C8" s="33" t="s">
        <v>333</v>
      </c>
      <c r="D8" s="33" t="s">
        <v>334</v>
      </c>
      <c r="E8" s="33" t="s">
        <v>335</v>
      </c>
    </row>
    <row r="9" spans="1:5" x14ac:dyDescent="0.4">
      <c r="A9" s="33" t="s">
        <v>336</v>
      </c>
      <c r="B9" s="33" t="s">
        <v>337</v>
      </c>
      <c r="C9" s="33" t="s">
        <v>338</v>
      </c>
      <c r="D9" s="33" t="s">
        <v>339</v>
      </c>
      <c r="E9" s="33" t="s">
        <v>340</v>
      </c>
    </row>
    <row r="12" spans="1:5" ht="16.5" x14ac:dyDescent="0.4">
      <c r="A12" s="36" t="s">
        <v>341</v>
      </c>
    </row>
    <row r="13" spans="1:5" ht="28.5" x14ac:dyDescent="0.4">
      <c r="A13" s="37" t="s">
        <v>342</v>
      </c>
      <c r="B13" s="37" t="s">
        <v>343</v>
      </c>
      <c r="C13" s="38" t="s">
        <v>344</v>
      </c>
    </row>
    <row r="14" spans="1:5" ht="57" x14ac:dyDescent="0.4">
      <c r="A14" s="37" t="s">
        <v>345</v>
      </c>
      <c r="B14" s="37" t="s">
        <v>346</v>
      </c>
      <c r="C14" s="38" t="s">
        <v>347</v>
      </c>
    </row>
    <row r="15" spans="1:5" ht="28.5" x14ac:dyDescent="0.4">
      <c r="A15" s="37" t="s">
        <v>348</v>
      </c>
      <c r="B15" s="37" t="s">
        <v>349</v>
      </c>
      <c r="C15" s="38" t="s">
        <v>350</v>
      </c>
    </row>
    <row r="16" spans="1:5" ht="28.5" x14ac:dyDescent="0.4">
      <c r="A16" s="37" t="s">
        <v>351</v>
      </c>
      <c r="B16" s="37" t="s">
        <v>349</v>
      </c>
      <c r="C16" s="38" t="s">
        <v>352</v>
      </c>
    </row>
    <row r="17" spans="1:3" ht="42.75" x14ac:dyDescent="0.4">
      <c r="A17" s="37" t="s">
        <v>353</v>
      </c>
      <c r="B17" s="37" t="s">
        <v>354</v>
      </c>
      <c r="C17" s="38" t="s">
        <v>355</v>
      </c>
    </row>
    <row r="18" spans="1:3" ht="28.5" x14ac:dyDescent="0.4">
      <c r="A18" s="37" t="s">
        <v>356</v>
      </c>
      <c r="B18" s="37" t="s">
        <v>357</v>
      </c>
      <c r="C18" s="38" t="s">
        <v>358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概要</vt:lpstr>
      <vt:lpstr>Ch0 間取り図</vt:lpstr>
      <vt:lpstr>Ch1 間取り図</vt:lpstr>
      <vt:lpstr>Ch0 設計図</vt:lpstr>
      <vt:lpstr>Ch1 設計図</vt:lpstr>
      <vt:lpstr>進行表</vt:lpstr>
      <vt:lpstr>敵・ボス</vt:lpstr>
      <vt:lpstr>'Ch0 設計図'!Print_Area</vt:lpstr>
      <vt:lpstr>'Ch1 設計図'!Print_Area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　泰稀</dc:creator>
  <cp:lastModifiedBy>平尾　泰稀</cp:lastModifiedBy>
  <dcterms:created xsi:type="dcterms:W3CDTF">2026-10-19T06:05:02Z</dcterms:created>
  <dcterms:modified xsi:type="dcterms:W3CDTF">2026-10-19T09:39:16Z</dcterms:modified>
</cp:coreProperties>
</file>